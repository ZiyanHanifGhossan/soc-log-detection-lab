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4d0997687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per IP" sheetId="1" r:id="R973823d6e4a34bfd"/>
    <x:sheet xmlns:r="http://schemas.openxmlformats.org/officeDocument/2006/relationships" name="Banding 2 IP teratas" sheetId="2" r:id="R247e991f5b0e4263"/>
    <x:sheet xmlns:r="http://schemas.openxmlformats.org/officeDocument/2006/relationships" name="Hanya terhubung" sheetId="3" r:id="Rd829283e0b9b4ae8"/>
    <x:sheet xmlns:r="http://schemas.openxmlformats.org/officeDocument/2006/relationships" name="Catatan" sheetId="4" r:id="Rc1712e035b104b2a"/>
  </x:sheets>
</x:workbook>
</file>

<file path=xl/sharedStrings.xml><?xml version="1.0" encoding="utf-8"?>
<x:sst xmlns:x="http://schemas.openxmlformats.org/spreadsheetml/2006/main">
  <x:si>
    <x:t xml:space="preserve">Hanya kolom timestamp, username, src_ip, session, protocol. Kolom password dan message tidak dipakai.</x:t>
  </x:si>
  <x:si>
    <x:t xml:space="preserve">IP sumber</x:t>
  </x:si>
  <x:si>
    <x:t xml:space="preserve">Login gagal</x:t>
  </x:si>
  <x:si>
    <x:t xml:space="preserve">Sesi dengan login gagal</x:t>
  </x:si>
  <x:si>
    <x:t xml:space="preserve">Koneksi total</x:t>
  </x:si>
  <x:si>
    <x:t xml:space="preserve">Mulai</x:t>
  </x:si>
  <x:si>
    <x:t xml:space="preserve">Selesai</x:t>
  </x:si>
  <x:si>
    <x:t xml:space="preserve">Durasi (detik)</x:t>
  </x:si>
  <x:si>
    <x:t xml:space="preserve">Gagal per detik</x:t>
  </x:si>
  <x:si>
    <x:t xml:space="preserve">Protokol</x:t>
  </x:si>
  <x:si>
    <x:t xml:space="preserve">Pasangan pengguna+IP yang kena Aturan 1</x:t>
  </x:si>
  <x:si>
    <x:t xml:space="preserve">198.5.233.14</x:t>
  </x:si>
  <x:si>
    <x:t xml:space="preserve">telnet</x:t>
  </x:si>
  <x:si>
    <x:t xml:space="preserve">36.157.238.137</x:t>
  </x:si>
  <x:si>
    <x:t xml:space="preserve">163.98.253.135</x:t>
  </x:si>
  <x:si>
    <x:t xml:space="preserve">20.196.52.135</x:t>
  </x:si>
  <x:si>
    <x:t xml:space="preserve">154.223.200.153</x:t>
  </x:si>
  <x:si>
    <x:t xml:space="preserve">92.192.55.190</x:t>
  </x:si>
  <x:si>
    <x:t xml:space="preserve">213.36.152.155</x:t>
  </x:si>
  <x:si>
    <x:t xml:space="preserve">130.32.89.134</x:t>
  </x:si>
  <x:si>
    <x:t xml:space="preserve">Total</x:t>
  </x:si>
  <x:si>
    <x:t xml:space="preserve">Catatan:</x:t>
  </x:si>
  <x:si>
    <x:t xml:space="preserve">Aturan 1 (contoh lab): 5 atau lebih login gagal untuk pasangan username+IP yang sama dalam jendela 10 menit.</x:t>
  </x:si>
  <x:si>
    <x:t xml:space="preserve">Ambang tersebut hanya contoh untuk latihan; di lingkungan nyata perlu disesuaikan.</x:t>
  </x:si>
  <x:si>
    <x:t xml:space="preserve">Total login gagal di berkas: 197 dari 8 IP. Koneksi total mencakup sesi tanpa login gagal.</x:t>
  </x:si>
  <x:si>
    <x:t xml:space="preserve">Perbandingan dua IP teratas</x:t>
  </x:si>
  <x:si>
    <x:t xml:space="preserve">Username</x:t>
  </x:si>
  <x:si>
    <x:t xml:space="preserve">Selisih</x:t>
  </x:si>
  <x:si>
    <x:t xml:space="preserve">root</x:t>
  </x:si>
  <x:si>
    <x:t xml:space="preserve">admin</x:t>
  </x:si>
  <x:si>
    <x:t xml:space="preserve">guest</x:t>
  </x:si>
  <x:si>
    <x:t xml:space="preserve">supervisor</x:t>
  </x:si>
  <x:si>
    <x:t xml:space="preserve">666666</x:t>
  </x:si>
  <x:si>
    <x:t xml:space="preserve">888888</x:t>
  </x:si>
  <x:si>
    <x:t xml:space="preserve">Admin</x:t>
  </x:si>
  <x:si>
    <x:t xml:space="preserve">Administrator</x:t>
  </x:si>
  <x:si>
    <x:t xml:space="preserve">admin1</x:t>
  </x:si>
  <x:si>
    <x:t xml:space="preserve">administrator</x:t>
  </x:si>
  <x:si>
    <x:t xml:space="preserve">default</x:t>
  </x:si>
  <x:si>
    <x:t xml:space="preserve">mother</x:t>
  </x:si>
  <x:si>
    <x:t xml:space="preserve">service</x:t>
  </x:si>
  <x:si>
    <x:t xml:space="preserve">support</x:t>
  </x:si>
  <x:si>
    <x:t xml:space="preserve">tech</x:t>
  </x:si>
  <x:si>
    <x:t xml:space="preserve">ubnt</x:t>
  </x:si>
  <x:si>
    <x:t xml:space="preserve">user</x:t>
  </x:si>
  <x:si>
    <x:t xml:space="preserve">Username berbeda</x:t>
  </x:si>
  <x:si>
    <x:t xml:space="preserve">Username sama persis (jumlah selisih = 0)</x:t>
  </x:si>
  <x:si>
    <x:t xml:space="preserve">Sesi (urut waktu)</x:t>
  </x:si>
  <x:si>
    <x:t xml:space="preserve">198.5.233.14 gagal</x:t>
  </x:si>
  <x:si>
    <x:t xml:space="preserve">36.157.238.137 gagal</x:t>
  </x:si>
  <x:si>
    <x:t xml:space="preserve">Sesi 1</x:t>
  </x:si>
  <x:si>
    <x:t xml:space="preserve">Sesi 2</x:t>
  </x:si>
  <x:si>
    <x:t xml:space="preserve">Sesi 3</x:t>
  </x:si>
  <x:si>
    <x:t xml:space="preserve">Sesi 4</x:t>
  </x:si>
  <x:si>
    <x:t xml:space="preserve">Sesi 5</x:t>
  </x:si>
  <x:si>
    <x:t xml:space="preserve">Kesimpulan aman: pola konsisten dengan alat atau daftar tebakan yang sama; belum membuktikan satu pelaku.</x:t>
  </x:si>
  <x:si>
    <x:t xml:space="preserve">Sumber yang hanya terhubung (tanpa login gagal tercatat)</x:t>
  </x:si>
  <x:si>
    <x:t xml:space="preserve">Jumlah koneksi</x:t>
  </x:si>
  <x:si>
    <x:t xml:space="preserve">Koneksi pertama</x:t>
  </x:si>
  <x:si>
    <x:t xml:space="preserve">Koneksi terakhir</x:t>
  </x:si>
  <x:si>
    <x:t xml:space="preserve">Rentang (detik)</x:t>
  </x:si>
  <x:si>
    <x:t xml:space="preserve">Rata-rata durasi sesi (detik)</x:t>
  </x:si>
  <x:si>
    <x:t xml:space="preserve">Port tujuan</x:t>
  </x:si>
  <x:si>
    <x:t xml:space="preserve">157.22.172.133</x:t>
  </x:si>
  <x:si>
    <x:t xml:space="preserve">23</x:t>
  </x:si>
  <x:si>
    <x:t xml:space="preserve">38.147.145.79</x:t>
  </x:si>
  <x:si>
    <x:t xml:space="preserve">20.225.59.51</x:t>
  </x:si>
  <x:si>
    <x:t xml:space="preserve">127.54.104.194</x:t>
  </x:si>
  <x:si>
    <x:t xml:space="preserve">198.91.13.226</x:t>
  </x:si>
  <x:si>
    <x:t xml:space="preserve">10.178.128.196</x:t>
  </x:si>
  <x:si>
    <x:t xml:space="preserve">103.48.12.197</x:t>
  </x:si>
  <x:si>
    <x:t xml:space="preserve">111.104.190.47</x:t>
  </x:si>
  <x:si>
    <x:t xml:space="preserve">111.22.144.190</x:t>
  </x:si>
  <x:si>
    <x:t xml:space="preserve">117.103.12.103</x:t>
  </x:si>
  <x:si>
    <x:t xml:space="preserve">118.210.125.197</x:t>
  </x:si>
  <x:si>
    <x:t xml:space="preserve">121.231.8.49</x:t>
  </x:si>
  <x:si>
    <x:t xml:space="preserve">127.117.137.161</x:t>
  </x:si>
  <x:si>
    <x:t xml:space="preserve">127.117.142.64</x:t>
  </x:si>
  <x:si>
    <x:t xml:space="preserve">127.124.207.175</x:t>
  </x:si>
  <x:si>
    <x:t xml:space="preserve">127.127.240.252</x:t>
  </x:si>
  <x:si>
    <x:t xml:space="preserve">127.137.106.90</x:t>
  </x:si>
  <x:si>
    <x:t xml:space="preserve">128.156.116.248</x:t>
  </x:si>
  <x:si>
    <x:t xml:space="preserve">134.100.211.45</x:t>
  </x:si>
  <x:si>
    <x:t xml:space="preserve">134.68.5.135</x:t>
  </x:si>
  <x:si>
    <x:t xml:space="preserve">136.55.206.231</x:t>
  </x:si>
  <x:si>
    <x:t xml:space="preserve">139.216.53.251</x:t>
  </x:si>
  <x:si>
    <x:t xml:space="preserve">140.220.80.70</x:t>
  </x:si>
  <x:si>
    <x:t xml:space="preserve">143.155.166.252</x:t>
  </x:si>
  <x:si>
    <x:t xml:space="preserve">152.206.197.163</x:t>
  </x:si>
  <x:si>
    <x:t xml:space="preserve">157.168.169.144</x:t>
  </x:si>
  <x:si>
    <x:t xml:space="preserve">157.168.65.68</x:t>
  </x:si>
  <x:si>
    <x:t xml:space="preserve">157.170.245.185</x:t>
  </x:si>
  <x:si>
    <x:t xml:space="preserve">165.21.111.210</x:t>
  </x:si>
  <x:si>
    <x:t xml:space="preserve">18.159.189.216</x:t>
  </x:si>
  <x:si>
    <x:t xml:space="preserve">195.17.118.188</x:t>
  </x:si>
  <x:si>
    <x:t xml:space="preserve">196.95.33.90</x:t>
  </x:si>
  <x:si>
    <x:t xml:space="preserve">197.20.110.254</x:t>
  </x:si>
  <x:si>
    <x:t xml:space="preserve">199.187.238.60</x:t>
  </x:si>
  <x:si>
    <x:t xml:space="preserve">203.58.217.120</x:t>
  </x:si>
  <x:si>
    <x:t xml:space="preserve">211.72.118.70</x:t>
  </x:si>
  <x:si>
    <x:t xml:space="preserve">213.36.180.38</x:t>
  </x:si>
  <x:si>
    <x:t xml:space="preserve">214.166.99.166</x:t>
  </x:si>
  <x:si>
    <x:t xml:space="preserve">215.216.232.122</x:t>
  </x:si>
  <x:si>
    <x:t xml:space="preserve">22.30.174.86</x:t>
  </x:si>
  <x:si>
    <x:t xml:space="preserve">220.5.52.170</x:t>
  </x:si>
  <x:si>
    <x:t xml:space="preserve">32.7.195.154</x:t>
  </x:si>
  <x:si>
    <x:t xml:space="preserve">32.7.93.57</x:t>
  </x:si>
  <x:si>
    <x:t xml:space="preserve">35.195.198.0</x:t>
  </x:si>
  <x:si>
    <x:t xml:space="preserve">35.218.192.60</x:t>
  </x:si>
  <x:si>
    <x:t xml:space="preserve">35.225.18.240</x:t>
  </x:si>
  <x:si>
    <x:t xml:space="preserve">35.228.199.206</x:t>
  </x:si>
  <x:si>
    <x:t xml:space="preserve">35.229.242.50</x:t>
  </x:si>
  <x:si>
    <x:t xml:space="preserve">35.229.69.235</x:t>
  </x:si>
  <x:si>
    <x:t xml:space="preserve">35.232.162.89</x:t>
  </x:si>
  <x:si>
    <x:t xml:space="preserve">35.240.130.82</x:t>
  </x:si>
  <x:si>
    <x:t xml:space="preserve">35.240.80.180</x:t>
  </x:si>
  <x:si>
    <x:t xml:space="preserve">35.242.13.201</x:t>
  </x:si>
  <x:si>
    <x:t xml:space="preserve">35.248.13.8</x:t>
  </x:si>
  <x:si>
    <x:t xml:space="preserve">35.248.228.184</x:t>
  </x:si>
  <x:si>
    <x:t xml:space="preserve">35.249.139.118</x:t>
  </x:si>
  <x:si>
    <x:t xml:space="preserve">35.250.49.68</x:t>
  </x:si>
  <x:si>
    <x:t xml:space="preserve">35.251.213.93</x:t>
  </x:si>
  <x:si>
    <x:t xml:space="preserve">35.255.15.5</x:t>
  </x:si>
  <x:si>
    <x:t xml:space="preserve">36.128.127.201</x:t>
  </x:si>
  <x:si>
    <x:t xml:space="preserve">36.143.176.149</x:t>
  </x:si>
  <x:si>
    <x:t xml:space="preserve">36.156.49.174</x:t>
  </x:si>
  <x:si>
    <x:t xml:space="preserve">36.46.204.160</x:t>
  </x:si>
  <x:si>
    <x:t xml:space="preserve">36.49.136.106</x:t>
  </x:si>
  <x:si>
    <x:t xml:space="preserve">37.101.205.194</x:t>
  </x:si>
  <x:si>
    <x:t xml:space="preserve">37.148.56.75</x:t>
  </x:si>
  <x:si>
    <x:t xml:space="preserve">38.46.119.136</x:t>
  </x:si>
  <x:si>
    <x:t xml:space="preserve">39.230.212.179</x:t>
  </x:si>
  <x:si>
    <x:t xml:space="preserve">40.165.237.191</x:t>
  </x:si>
  <x:si>
    <x:t xml:space="preserve">41.40.252.83</x:t>
  </x:si>
  <x:si>
    <x:t xml:space="preserve">41.42.50.216</x:t>
  </x:si>
  <x:si>
    <x:t xml:space="preserve">42.164.145.182</x:t>
  </x:si>
  <x:si>
    <x:t xml:space="preserve">43.116.173.66</x:t>
  </x:si>
  <x:si>
    <x:t xml:space="preserve">43.116.22.32</x:t>
  </x:si>
  <x:si>
    <x:t xml:space="preserve">43.116.223.3</x:t>
  </x:si>
  <x:si>
    <x:t xml:space="preserve">43.201.149.120</x:t>
  </x:si>
  <x:si>
    <x:t xml:space="preserve">43.215.97.121</x:t>
  </x:si>
  <x:si>
    <x:t xml:space="preserve">44.150.195.169</x:t>
  </x:si>
  <x:si>
    <x:t xml:space="preserve">44.17.29.170</x:t>
  </x:si>
  <x:si>
    <x:t xml:space="preserve">45.125.67.189</x:t>
  </x:si>
  <x:si>
    <x:t xml:space="preserve">45.178.72.174</x:t>
  </x:si>
  <x:si>
    <x:t xml:space="preserve">53.233.111.69</x:t>
  </x:si>
  <x:si>
    <x:t xml:space="preserve">56.153.228.78</x:t>
  </x:si>
  <x:si>
    <x:t xml:space="preserve">58.101.81.230</x:t>
  </x:si>
  <x:si>
    <x:t xml:space="preserve">58.169.184.134</x:t>
  </x:si>
  <x:si>
    <x:t xml:space="preserve">64.238.109.194</x:t>
  </x:si>
  <x:si>
    <x:t xml:space="preserve">69.131.213.138</x:t>
  </x:si>
  <x:si>
    <x:t xml:space="preserve">69.200.17.39</x:t>
  </x:si>
  <x:si>
    <x:t xml:space="preserve">70.240.76.246</x:t>
  </x:si>
  <x:si>
    <x:t xml:space="preserve">73.103.187.97</x:t>
  </x:si>
  <x:si>
    <x:t xml:space="preserve">75.139.160.106</x:t>
  </x:si>
  <x:si>
    <x:t xml:space="preserve">75.17.231.62</x:t>
  </x:si>
  <x:si>
    <x:t xml:space="preserve">76.123.180.58</x:t>
  </x:si>
  <x:si>
    <x:t xml:space="preserve">76.123.191.77</x:t>
  </x:si>
  <x:si>
    <x:t xml:space="preserve">80.159.212.82</x:t>
  </x:si>
  <x:si>
    <x:t xml:space="preserve">80.209.26.183</x:t>
  </x:si>
  <x:si>
    <x:t xml:space="preserve">81.89.114.29</x:t>
  </x:si>
  <x:si>
    <x:t xml:space="preserve">84.104.100.252</x:t>
  </x:si>
  <x:si>
    <x:t xml:space="preserve">84.107.89.192</x:t>
  </x:si>
  <x:si>
    <x:t xml:space="preserve">84.172.136.148</x:t>
  </x:si>
  <x:si>
    <x:t xml:space="preserve">84.239.60.72</x:t>
  </x:si>
  <x:si>
    <x:t xml:space="preserve">85.18.58.15</x:t>
  </x:si>
  <x:si>
    <x:t xml:space="preserve">85.20.102.97</x:t>
  </x:si>
  <x:si>
    <x:t xml:space="preserve">87.151.21.167</x:t>
  </x:si>
  <x:si>
    <x:t xml:space="preserve">92.65.211.205</x:t>
  </x:si>
  <x:si>
    <x:t xml:space="preserve">99.217.121.27</x:t>
  </x:si>
  <x:si>
    <x:t xml:space="preserve">Jumlah IP</x:t>
  </x:si>
  <x:si>
    <x:t xml:space="preserve">IP dengan 1 koneksi</x:t>
  </x:si>
  <x:si>
    <x:t xml:space="preserve">IP dengan 2+ koneksi</x:t>
  </x:si>
  <x:si>
    <x:t xml:space="preserve">Catatan dan keterbatasan</x:t>
  </x:si>
  <x:si>
    <x:t xml:space="preserve">Topik</x:t>
  </x:si>
  <x:si>
    <x:t xml:space="preserve">Keterangan</x:t>
  </x:si>
  <x:si>
    <x:t xml:space="preserve">Sumber data</x:t>
  </x:si>
  <x:si>
    <x:t xml:space="preserve">Berkas cowrie_json_2025-04-03.anon (669 catatan: 197 cowrie.login.failed, 236 cowrie.session.connect, 236 cowrie.session.closed). Waktu dalam UTC.</x:t>
  </x:si>
  <x:si>
    <x:t xml:space="preserve">Kolom yang dipakai</x:t>
  </x:si>
  <x:si>
    <x:t xml:space="preserve">timestamp, username, src_ip, session, protocol, eventid, dst_port, duration. Kolom password dan message tidak dimuat karena berisi kata sandi yang dicoba.</x:t>
  </x:si>
  <x:si>
    <x:t xml:space="preserve">Dihubungkan lewat kolom session dari event cowrie.session.connect. Seluruh 236 sesi memakai telnet, jadi kolom ini tidak membedakan pola.</x:t>
  </x:si>
  <x:si>
    <x:t xml:space="preserve">Aturan 1</x:t>
  </x:si>
  <x:si>
    <x:t xml:space="preserve">5 atau lebih login gagal per pasangan username+IP dalam 10 menit. Ambang hanya contoh untuk lab.</x:t>
  </x:si>
  <x:si>
    <x:t xml:space="preserve">Honeypot</x:t>
  </x:si>
  <x:si>
    <x:t xml:space="preserve">Username adalah tebakan penyerang, bukan akun sungguhan. Hasil tidak bisa langsung dianggap gambaran risiko di sistem produksi.</x:t>
  </x:si>
  <x:si>
    <x:t xml:space="preserve">Tanpa login berhasil</x:t>
  </x:si>
  <x:si>
    <x:t xml:space="preserve">Tidak ada cowrie.login.success, sehingga Aturan 2 (eskalasi) tidak bisa diuji dan aktivitas setelah akses tidak terlihat.</x:t>
  </x:si>
  <x:si>
    <x:t xml:space="preserve">Cakupan</x:t>
  </x:si>
  <x:si>
    <x:t xml:space="preserve">Hanya satu hari. Tidak ada data reputasi atau lokasi IP. Berkas berlabel .anon, jadi alamat IP tidak boleh diasumsikan asli.</x:t>
  </x:si>
  <x:si>
    <x:t xml:space="preserve">Sumber hanya terhubung</x:t>
  </x:si>
  <x:si>
    <x:t xml:space="preserve">Aturan kita hanya melihat login gagal. IP yang sekadar terhubung berulang tanpa login gagal membutuhkan aturan terpisah.</x:t>
  </x:si>
  <x:si>
    <x:t xml:space="preserve">Penafsiran</x:t>
  </x:si>
  <x:si>
    <x:t xml:space="preserve">Kesamaan dua IP teratas konsisten dengan alat atau daftar kata yang sama, tetapi belum membuktikan satu pelaku.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</x:si>
</x:sst>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yyyy\-mm\-dd\ hh:mm:ss"/>
    <x:numFmt numFmtId="166" formatCode="General"/>
    <x:numFmt numFmtId="200" formatCode="0.0000"/>
  </x:numFmts>
  <x:fonts count="1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i/>
      <x:sz val="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0" applyProtection="0">
      <x:alignment horizontal="general" vertical="bottom" wrapText="0" shrinkToFit="0"/>
      <x:protection locked="1" hidden="0"/>
    </x:xf>
    <x:xf numFmtId="165" fontId="7" fillId="0" borderId="1" xfId="0" applyFont="1" applyBorder="1" applyAlignment="0" applyProtection="0">
      <x:alignment horizontal="general" vertical="bottom" wrapText="0" shrinkToFit="0"/>
      <x:protection locked="1" hidden="0"/>
    </x:xf>
    <x:xf numFmtId="164" fontId="8" fillId="0" borderId="1" xfId="0" applyFont="1" applyBorder="1" applyAlignment="0" applyProtection="0">
      <x:alignment horizontal="general" vertical="bottom" wrapText="0" shrinkToFit="0"/>
      <x:protection locked="1" hidden="0"/>
    </x:xf>
    <x:xf numFmtId="164" fontId="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0" borderId="0" xfId="0" applyFont="1" applyBorder="0" applyAlignment="0" applyProtection="0">
      <x:alignment horizontal="general" vertical="bottom" wrapText="0" shrinkToFit="0"/>
      <x:protection locked="1" hidden="0"/>
    </x:xf>
    <x:xf numFmtId="166" fontId="7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8" fillId="0" borderId="1" xfId="0" applyFont="1" applyBorder="1" applyAlignment="1" applyProtection="0">
      <x:alignment horizontal="general" vertical="top" wrapText="0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" fillId="0" borderId="1" xfId="0" applyFont="1" applyBorder="1" applyAlignment="0" applyProtection="0">
      <x:alignment horizontal="general" vertical="bottom" wrapText="0" shrinkToFit="0"/>
      <x:protection locked="1" hidden="0"/>
    </x:xf>
    <x:xf numFmtId="200" fontId="1" fillId="0" borderId="1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aa29fee4b4eb1" /><Relationship Type="http://schemas.openxmlformats.org/officeDocument/2006/relationships/theme" Target="/xl/theme/theme1.xml" Id="Rce1da0a9f3414c74" /><Relationship Type="http://schemas.openxmlformats.org/officeDocument/2006/relationships/sharedStrings" Target="/xl/sharedStrings.xml" Id="Rb8dd60f076c84ff3" /><Relationship Type="http://schemas.openxmlformats.org/officeDocument/2006/relationships/worksheet" Target="/xl/worksheets/sheet1.xml" Id="R973823d6e4a34bfd" /><Relationship Type="http://schemas.openxmlformats.org/officeDocument/2006/relationships/worksheet" Target="/xl/worksheets/sheet2.xml" Id="R247e991f5b0e4263" /><Relationship Type="http://schemas.openxmlformats.org/officeDocument/2006/relationships/worksheet" Target="/xl/worksheets/sheet3.xml" Id="Rd829283e0b9b4ae8" /><Relationship Type="http://schemas.openxmlformats.org/officeDocument/2006/relationships/worksheet" Target="/xl/worksheets/sheet4.xml" Id="Rc1712e035b104b2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18" hidden="0" customWidth="1"/>
    <x:col min="2" max="3" width="12" hidden="0" customWidth="1"/>
    <x:col min="4" max="4" width="14" hidden="0" customWidth="1"/>
    <x:col min="5" max="5" width="12" hidden="0" customWidth="1"/>
    <x:col min="6" max="7" width="20" hidden="0" customWidth="1"/>
    <x:col min="8" max="10" width="12" hidden="0" customWidth="1"/>
    <x:col min="11" max="11" width="22" hidden="0" customWidth="1"/>
    <x:col min="12" max="12" width="23" hidden="0" customWidth="1"/>
  </x:cols>
  <x:sheetData>
    <x:row r="1" ht="16.149999618530273" hidden="0">
      <x:c r="A1" s="1" t="str">
        <x:v>Ringkasan login gagal per IP — honeypot Cowrie, 3 April 2025 (waktu UTC)</x:v>
      </x:c>
    </x:row>
    <x:row r="2" ht="15" hidden="0">
      <x:c r="A2" s="2" t="s">
        <x:v>0</x:v>
      </x:c>
    </x:row>
    <x:row r="4" ht="31.5" hidden="0" customHeight="1">
      <x:c r="A4" s="3" t="s">
        <x:v>1</x:v>
      </x:c>
      <x:c r="B4" s="3" t="s">
        <x:v>2</x:v>
      </x:c>
      <x:c r="C4" s="3" t="str">
        <x:v>Nilai username berbeda</x:v>
      </x:c>
      <x:c r="D4" s="3" t="s">
        <x:v>3</x:v>
      </x:c>
      <x:c r="E4" s="3" t="s">
        <x:v>4</x:v>
      </x:c>
      <x:c r="F4" s="3" t="s">
        <x:v>5</x:v>
      </x:c>
      <x:c r="G4" s="3" t="s">
        <x:v>6</x:v>
      </x:c>
      <x:c r="H4" s="3" t="s">
        <x:v>7</x:v>
      </x:c>
      <x:c r="I4" s="3" t="s">
        <x:v>8</x:v>
      </x:c>
      <x:c r="J4" s="3" t="s">
        <x:v>9</x:v>
      </x:c>
      <x:c r="K4" s="3" t="s">
        <x:v>10</x:v>
      </x:c>
      <x:c r="L4" s="3" t="str">
        <x:v>Login gagal tanpa username</x:v>
      </x:c>
    </x:row>
    <x:row r="5" ht="15" hidden="0">
      <x:c r="A5" s="4" t="s">
        <x:v>11</x:v>
      </x:c>
      <x:c r="B5" s="4" t="n">
        <x:v>90</x:v>
      </x:c>
      <x:c r="C5" s="4" t="n">
        <x:v>17</x:v>
      </x:c>
      <x:c r="D5" s="4" t="n">
        <x:v>5</x:v>
      </x:c>
      <x:c r="E5" s="4" t="n">
        <x:v>8</x:v>
      </x:c>
      <x:c r="F5" s="5" t="n">
        <x:v>45750.6612489338</x:v>
      </x:c>
      <x:c r="G5" s="5" t="n">
        <x:v>45750.6627975239</x:v>
      </x:c>
      <x:c r="H5" s="4" t="n">
        <x:f aca="0">ROUND((G5-F5)*86400,1)</x:f>
        <x:v>133.8</x:v>
      </x:c>
      <x:c r="I5" s="13" t="n">
        <x:f aca="0">IF(H5&lt;1,"n/a",ROUND(B5/H5,4))</x:f>
        <x:v>0.6726</x:v>
      </x:c>
      <x:c r="J5" s="4" t="s">
        <x:v>12</x:v>
      </x:c>
      <x:c r="K5" s="4" t="n">
        <x:v>2</x:v>
      </x:c>
      <x:c r="L5" s="12" t="n">
        <x:v>0</x:v>
      </x:c>
    </x:row>
    <x:row r="6" ht="15" hidden="0">
      <x:c r="A6" s="4" t="s">
        <x:v>13</x:v>
      </x:c>
      <x:c r="B6" s="4" t="n">
        <x:v>90</x:v>
      </x:c>
      <x:c r="C6" s="4" t="n">
        <x:v>17</x:v>
      </x:c>
      <x:c r="D6" s="4" t="n">
        <x:v>5</x:v>
      </x:c>
      <x:c r="E6" s="4" t="n">
        <x:v>6</x:v>
      </x:c>
      <x:c r="F6" s="5" t="n">
        <x:v>45750.9983126764</x:v>
      </x:c>
      <x:c r="G6" s="5" t="n">
        <x:v>45750.9993099308</x:v>
      </x:c>
      <x:c r="H6" s="4" t="n">
        <x:f aca="0">ROUND((G6-F6)*86400,1)</x:f>
        <x:v>86.2</x:v>
      </x:c>
      <x:c r="I6" s="13" t="n">
        <x:f aca="0">IF(H6&lt;1,"n/a",ROUND(B6/H6,4))</x:f>
        <x:v>1.0441</x:v>
      </x:c>
      <x:c r="J6" s="4" t="s">
        <x:v>12</x:v>
      </x:c>
      <x:c r="K6" s="4" t="n">
        <x:v>2</x:v>
      </x:c>
      <x:c r="L6" s="12" t="n">
        <x:v>0</x:v>
      </x:c>
    </x:row>
    <x:row r="7" ht="15" hidden="0">
      <x:c r="A7" s="4" t="s">
        <x:v>14</x:v>
      </x:c>
      <x:c r="B7" s="4" t="n">
        <x:v>4</x:v>
      </x:c>
      <x:c r="C7" s="4" t="n">
        <x:v>3</x:v>
      </x:c>
      <x:c r="D7" s="4" t="n">
        <x:v>3</x:v>
      </x:c>
      <x:c r="E7" s="4" t="n">
        <x:v>8</x:v>
      </x:c>
      <x:c r="F7" s="5" t="n">
        <x:v>45750.9139562346</x:v>
      </x:c>
      <x:c r="G7" s="5" t="n">
        <x:v>45750.9145828696</x:v>
      </x:c>
      <x:c r="H7" s="4" t="n">
        <x:f aca="0">ROUND((G7-F7)*86400,1)</x:f>
        <x:v>54.1</x:v>
      </x:c>
      <x:c r="I7" s="13" t="n">
        <x:f aca="0">IF(H7&lt;1,"n/a",ROUND(B7/H7,4))</x:f>
        <x:v>0.0739</x:v>
      </x:c>
      <x:c r="J7" s="4" t="s">
        <x:v>12</x:v>
      </x:c>
      <x:c r="K7" s="4" t="n">
        <x:v>0</x:v>
      </x:c>
      <x:c r="L7" s="12" t="n">
        <x:v>1</x:v>
      </x:c>
    </x:row>
    <x:row r="8" ht="15" hidden="0">
      <x:c r="A8" s="4" t="s">
        <x:v>15</x:v>
      </x:c>
      <x:c r="B8" s="4" t="n">
        <x:v>3</x:v>
      </x:c>
      <x:c r="C8" s="4" t="n">
        <x:v>3</x:v>
      </x:c>
      <x:c r="D8" s="4" t="n">
        <x:v>1</x:v>
      </x:c>
      <x:c r="E8" s="4" t="n">
        <x:v>1</x:v>
      </x:c>
      <x:c r="F8" s="5" t="n">
        <x:v>45750.807472241</x:v>
      </x:c>
      <x:c r="G8" s="5" t="n">
        <x:v>45750.8074724061</x:v>
      </x:c>
      <x:c r="H8" s="4" t="n">
        <x:f aca="0">ROUND((G8-F8)*86400,1)</x:f>
        <x:v>0</x:v>
      </x:c>
      <x:c r="I8" s="13" t="str">
        <x:f aca="0">IF(H8&lt;1,"n/a",ROUND(B8/H8,4))</x:f>
        <x:v>n/a</x:v>
      </x:c>
      <x:c r="J8" s="4" t="s">
        <x:v>12</x:v>
      </x:c>
      <x:c r="K8" s="4" t="n">
        <x:v>0</x:v>
      </x:c>
      <x:c r="L8" s="12" t="n">
        <x:v>0</x:v>
      </x:c>
    </x:row>
    <x:row r="9" ht="15" hidden="0">
      <x:c r="A9" s="4" t="s">
        <x:v>16</x:v>
      </x:c>
      <x:c r="B9" s="4" t="n">
        <x:v>3</x:v>
      </x:c>
      <x:c r="C9" s="4" t="n">
        <x:v>3</x:v>
      </x:c>
      <x:c r="D9" s="4" t="n">
        <x:v>1</x:v>
      </x:c>
      <x:c r="E9" s="4" t="n">
        <x:v>1</x:v>
      </x:c>
      <x:c r="F9" s="5" t="n">
        <x:v>45750.8528923373</x:v>
      </x:c>
      <x:c r="G9" s="5" t="n">
        <x:v>45750.852892486</x:v>
      </x:c>
      <x:c r="H9" s="4" t="n">
        <x:f aca="0">ROUND((G9-F9)*86400,1)</x:f>
        <x:v>0</x:v>
      </x:c>
      <x:c r="I9" s="13" t="str">
        <x:f aca="0">IF(H9&lt;1,"n/a",ROUND(B9/H9,4))</x:f>
        <x:v>n/a</x:v>
      </x:c>
      <x:c r="J9" s="4" t="s">
        <x:v>12</x:v>
      </x:c>
      <x:c r="K9" s="4" t="n">
        <x:v>0</x:v>
      </x:c>
      <x:c r="L9" s="12" t="n">
        <x:v>0</x:v>
      </x:c>
    </x:row>
    <x:row r="10" ht="15" hidden="0">
      <x:c r="A10" s="4" t="s">
        <x:v>17</x:v>
      </x:c>
      <x:c r="B10" s="4" t="n">
        <x:v>3</x:v>
      </x:c>
      <x:c r="C10" s="4" t="n">
        <x:v>3</x:v>
      </x:c>
      <x:c r="D10" s="4" t="n">
        <x:v>1</x:v>
      </x:c>
      <x:c r="E10" s="4" t="n">
        <x:v>1</x:v>
      </x:c>
      <x:c r="F10" s="5" t="n">
        <x:v>45750.8798122491</x:v>
      </x:c>
      <x:c r="G10" s="5" t="n">
        <x:v>45750.8798123016</x:v>
      </x:c>
      <x:c r="H10" s="4" t="n">
        <x:f aca="0">ROUND((G10-F10)*86400,1)</x:f>
        <x:v>0</x:v>
      </x:c>
      <x:c r="I10" s="13" t="str">
        <x:f aca="0">IF(H10&lt;1,"n/a",ROUND(B10/H10,4))</x:f>
        <x:v>n/a</x:v>
      </x:c>
      <x:c r="J10" s="4" t="s">
        <x:v>12</x:v>
      </x:c>
      <x:c r="K10" s="4" t="n">
        <x:v>0</x:v>
      </x:c>
      <x:c r="L10" s="12" t="n">
        <x:v>0</x:v>
      </x:c>
    </x:row>
    <x:row r="11" ht="15" hidden="0">
      <x:c r="A11" s="4" t="s">
        <x:v>18</x:v>
      </x:c>
      <x:c r="B11" s="4" t="n">
        <x:v>2</x:v>
      </x:c>
      <x:c r="C11" s="4" t="n">
        <x:v>1</x:v>
      </x:c>
      <x:c r="D11" s="4" t="n">
        <x:v>2</x:v>
      </x:c>
      <x:c r="E11" s="4" t="n">
        <x:v>2</x:v>
      </x:c>
      <x:c r="F11" s="5" t="n">
        <x:v>45750.8558781549</x:v>
      </x:c>
      <x:c r="G11" s="5" t="n">
        <x:v>45750.9699214885</x:v>
      </x:c>
      <x:c r="H11" s="4" t="n">
        <x:f aca="0">ROUND((G11-F11)*86400,1)</x:f>
        <x:v>9853.3</x:v>
      </x:c>
      <x:c r="I11" s="13" t="n">
        <x:f aca="0">IF(H11&lt;1,"n/a",ROUND(B11/H11,4))</x:f>
        <x:v>0.0002</x:v>
      </x:c>
      <x:c r="J11" s="4" t="s">
        <x:v>12</x:v>
      </x:c>
      <x:c r="K11" s="4" t="n">
        <x:v>0</x:v>
      </x:c>
      <x:c r="L11" s="12" t="n">
        <x:v>0</x:v>
      </x:c>
    </x:row>
    <x:row r="12" ht="15" hidden="0">
      <x:c r="A12" s="4" t="s">
        <x:v>19</x:v>
      </x:c>
      <x:c r="B12" s="4" t="n">
        <x:v>2</x:v>
      </x:c>
      <x:c r="C12" s="4" t="n">
        <x:v>1</x:v>
      </x:c>
      <x:c r="D12" s="4" t="n">
        <x:v>2</x:v>
      </x:c>
      <x:c r="E12" s="4" t="n">
        <x:v>2</x:v>
      </x:c>
      <x:c r="F12" s="5" t="n">
        <x:v>45750.9495977742</x:v>
      </x:c>
      <x:c r="G12" s="5" t="n">
        <x:v>45750.9843521288</x:v>
      </x:c>
      <x:c r="H12" s="4" t="n">
        <x:f aca="0">ROUND((G12-F12)*86400,1)</x:f>
        <x:v>3002.8</x:v>
      </x:c>
      <x:c r="I12" s="13" t="n">
        <x:f aca="0">IF(H12&lt;1,"n/a",ROUND(B12/H12,4))</x:f>
        <x:v>0.0007</x:v>
      </x:c>
      <x:c r="J12" s="4" t="s">
        <x:v>12</x:v>
      </x:c>
      <x:c r="K12" s="4" t="n">
        <x:v>0</x:v>
      </x:c>
      <x:c r="L12" s="12" t="n">
        <x:v>0</x:v>
      </x:c>
    </x:row>
    <x:row r="13" ht="15" hidden="0">
      <x:c r="A13" s="6" t="s">
        <x:v>20</x:v>
      </x:c>
      <x:c r="B13" s="6" t="n">
        <x:f aca="0">SUM(B5:B12)</x:f>
        <x:v>197</x:v>
      </x:c>
      <x:c r="C13" s="6"/>
      <x:c r="D13" s="6" t="n">
        <x:f aca="0">SUM(D5:D12)</x:f>
        <x:v>20</x:v>
      </x:c>
      <x:c r="E13" s="6" t="n">
        <x:f aca="0">SUM(E5:E12)</x:f>
        <x:v>29</x:v>
      </x:c>
      <x:c r="F13" s="6"/>
      <x:c r="G13" s="6"/>
      <x:c r="H13" s="6"/>
      <x:c r="I13" s="6"/>
      <x:c r="J13" s="6"/>
      <x:c r="K13" s="6" t="n">
        <x:f aca="0">SUM(K5:K12)</x:f>
        <x:v>4</x:v>
      </x:c>
      <x:c r="L13" s="6" t="n">
        <x:f>SUM(L5:L12)</x:f>
        <x:v>1</x:v>
      </x:c>
    </x:row>
    <x:row r="15" ht="15" hidden="0">
      <x:c r="A15" s="7" t="s">
        <x:v>21</x:v>
      </x:c>
    </x:row>
    <x:row r="16" ht="15" hidden="0">
      <x:c r="A16" s="8" t="str">
        <x:v>Rentang waktu = login gagal pertama hingga terakhir per IP. Laju dibulatkan 4 desimal; n/a jika rentang &lt;1 detik. Event tanpa username dihitung terpisah di kolom terakhir. Nilai username berbeda menghitung string nonkosong pada field Cowrie, bukan jumlah akun yang terbukti.</x:v>
      </x:c>
    </x:row>
    <x:row r="17" ht="15" hidden="0">
      <x:c r="A17" s="8" t="s">
        <x:v>22</x:v>
      </x:c>
    </x:row>
    <x:row r="18" ht="15" hidden="0">
      <x:c r="A18" s="8" t="s">
        <x:v>23</x:v>
      </x:c>
    </x:row>
    <x:row r="19" ht="15" hidden="0">
      <x:c r="A19" s="8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34" hidden="0" customWidth="1"/>
    <x:col min="2" max="3" width="18" hidden="0" customWidth="1"/>
    <x:col min="4" max="4" width="10" hidden="0" customWidth="1"/>
  </x:cols>
  <x:sheetData>
    <x:row r="1" ht="16.149999618530273" hidden="0">
      <x:c r="A1" s="1" t="s">
        <x:v>25</x:v>
      </x:c>
    </x:row>
    <x:row r="3" ht="31.5" hidden="0" customHeight="1">
      <x:c r="A3" s="3" t="s">
        <x:v>26</x:v>
      </x:c>
      <x:c r="B3" s="3" t="s">
        <x:v>11</x:v>
      </x:c>
      <x:c r="C3" s="3" t="s">
        <x:v>13</x:v>
      </x:c>
      <x:c r="D3" s="3" t="s">
        <x:v>27</x:v>
      </x:c>
    </x:row>
    <x:row r="4" ht="15" hidden="0">
      <x:c r="A4" s="4" t="s">
        <x:v>28</x:v>
      </x:c>
      <x:c r="B4" s="4" t="n">
        <x:v>51</x:v>
      </x:c>
      <x:c r="C4" s="4" t="n">
        <x:v>51</x:v>
      </x:c>
      <x:c r="D4" s="4" t="n">
        <x:f aca="0">B4-C4</x:f>
        <x:v>0</x:v>
      </x:c>
    </x:row>
    <x:row r="5" ht="15" hidden="0">
      <x:c r="A5" s="4" t="s">
        <x:v>29</x:v>
      </x:c>
      <x:c r="B5" s="4" t="n">
        <x:v>21</x:v>
      </x:c>
      <x:c r="C5" s="4" t="n">
        <x:v>21</x:v>
      </x:c>
      <x:c r="D5" s="4" t="n">
        <x:f aca="0">B5-C5</x:f>
        <x:v>0</x:v>
      </x:c>
    </x:row>
    <x:row r="6" ht="15" hidden="0">
      <x:c r="A6" s="4" t="s">
        <x:v>30</x:v>
      </x:c>
      <x:c r="B6" s="4" t="n">
        <x:v>3</x:v>
      </x:c>
      <x:c r="C6" s="4" t="n">
        <x:v>3</x:v>
      </x:c>
      <x:c r="D6" s="4" t="n">
        <x:f aca="0">B6-C6</x:f>
        <x:v>0</x:v>
      </x:c>
    </x:row>
    <x:row r="7" ht="15" hidden="0">
      <x:c r="A7" s="4" t="s">
        <x:v>31</x:v>
      </x:c>
      <x:c r="B7" s="4" t="n">
        <x:v>2</x:v>
      </x:c>
      <x:c r="C7" s="4" t="n">
        <x:v>2</x:v>
      </x:c>
      <x:c r="D7" s="4" t="n">
        <x:f aca="0">B7-C7</x:f>
        <x:v>0</x:v>
      </x:c>
    </x:row>
    <x:row r="8" ht="15" hidden="0">
      <x:c r="A8" s="4" t="s">
        <x:v>32</x:v>
      </x:c>
      <x:c r="B8" s="4" t="n">
        <x:v>1</x:v>
      </x:c>
      <x:c r="C8" s="4" t="n">
        <x:v>1</x:v>
      </x:c>
      <x:c r="D8" s="4" t="n">
        <x:f aca="0">B8-C8</x:f>
        <x:v>0</x:v>
      </x:c>
    </x:row>
    <x:row r="9" ht="15" hidden="0">
      <x:c r="A9" s="4" t="s">
        <x:v>33</x:v>
      </x:c>
      <x:c r="B9" s="4" t="n">
        <x:v>1</x:v>
      </x:c>
      <x:c r="C9" s="4" t="n">
        <x:v>1</x:v>
      </x:c>
      <x:c r="D9" s="4" t="n">
        <x:f aca="0">B9-C9</x:f>
        <x:v>0</x:v>
      </x:c>
    </x:row>
    <x:row r="10" ht="15" hidden="0">
      <x:c r="A10" s="4" t="s">
        <x:v>34</x:v>
      </x:c>
      <x:c r="B10" s="4" t="n">
        <x:v>1</x:v>
      </x:c>
      <x:c r="C10" s="4" t="n">
        <x:v>1</x:v>
      </x:c>
      <x:c r="D10" s="4" t="n">
        <x:f aca="0">B10-C10</x:f>
        <x:v>0</x:v>
      </x:c>
    </x:row>
    <x:row r="11" ht="15" hidden="0">
      <x:c r="A11" s="4" t="s">
        <x:v>35</x:v>
      </x:c>
      <x:c r="B11" s="4" t="n">
        <x:v>1</x:v>
      </x:c>
      <x:c r="C11" s="4" t="n">
        <x:v>1</x:v>
      </x:c>
      <x:c r="D11" s="4" t="n">
        <x:f aca="0">B11-C11</x:f>
        <x:v>0</x:v>
      </x:c>
    </x:row>
    <x:row r="12" ht="15" hidden="0">
      <x:c r="A12" s="4" t="s">
        <x:v>36</x:v>
      </x:c>
      <x:c r="B12" s="4" t="n">
        <x:v>1</x:v>
      </x:c>
      <x:c r="C12" s="4" t="n">
        <x:v>1</x:v>
      </x:c>
      <x:c r="D12" s="4" t="n">
        <x:f aca="0">B12-C12</x:f>
        <x:v>0</x:v>
      </x:c>
    </x:row>
    <x:row r="13" ht="15" hidden="0">
      <x:c r="A13" s="4" t="s">
        <x:v>37</x:v>
      </x:c>
      <x:c r="B13" s="4" t="n">
        <x:v>1</x:v>
      </x:c>
      <x:c r="C13" s="4" t="n">
        <x:v>1</x:v>
      </x:c>
      <x:c r="D13" s="4" t="n">
        <x:f aca="0">B13-C13</x:f>
        <x:v>0</x:v>
      </x:c>
    </x:row>
    <x:row r="14" ht="15" hidden="0">
      <x:c r="A14" s="4" t="s">
        <x:v>38</x:v>
      </x:c>
      <x:c r="B14" s="4" t="n">
        <x:v>1</x:v>
      </x:c>
      <x:c r="C14" s="4" t="n">
        <x:v>1</x:v>
      </x:c>
      <x:c r="D14" s="4" t="n">
        <x:f aca="0">B14-C14</x:f>
        <x:v>0</x:v>
      </x:c>
    </x:row>
    <x:row r="15" ht="15" hidden="0">
      <x:c r="A15" s="4" t="s">
        <x:v>39</x:v>
      </x:c>
      <x:c r="B15" s="4" t="n">
        <x:v>1</x:v>
      </x:c>
      <x:c r="C15" s="4" t="n">
        <x:v>1</x:v>
      </x:c>
      <x:c r="D15" s="4" t="n">
        <x:f aca="0">B15-C15</x:f>
        <x:v>0</x:v>
      </x:c>
    </x:row>
    <x:row r="16" ht="15" hidden="0">
      <x:c r="A16" s="4" t="s">
        <x:v>40</x:v>
      </x:c>
      <x:c r="B16" s="4" t="n">
        <x:v>1</x:v>
      </x:c>
      <x:c r="C16" s="4" t="n">
        <x:v>1</x:v>
      </x:c>
      <x:c r="D16" s="4" t="n">
        <x:f aca="0">B16-C16</x:f>
        <x:v>0</x:v>
      </x:c>
    </x:row>
    <x:row r="17" ht="15" hidden="0">
      <x:c r="A17" s="4" t="s">
        <x:v>41</x:v>
      </x:c>
      <x:c r="B17" s="4" t="n">
        <x:v>1</x:v>
      </x:c>
      <x:c r="C17" s="4" t="n">
        <x:v>1</x:v>
      </x:c>
      <x:c r="D17" s="4" t="n">
        <x:f aca="0">B17-C17</x:f>
        <x:v>0</x:v>
      </x:c>
    </x:row>
    <x:row r="18" ht="15" hidden="0">
      <x:c r="A18" s="4" t="s">
        <x:v>42</x:v>
      </x:c>
      <x:c r="B18" s="4" t="n">
        <x:v>1</x:v>
      </x:c>
      <x:c r="C18" s="4" t="n">
        <x:v>1</x:v>
      </x:c>
      <x:c r="D18" s="4" t="n">
        <x:f aca="0">B18-C18</x:f>
        <x:v>0</x:v>
      </x:c>
    </x:row>
    <x:row r="19" ht="15" hidden="0">
      <x:c r="A19" s="4" t="s">
        <x:v>43</x:v>
      </x:c>
      <x:c r="B19" s="4" t="n">
        <x:v>1</x:v>
      </x:c>
      <x:c r="C19" s="4" t="n">
        <x:v>1</x:v>
      </x:c>
      <x:c r="D19" s="4" t="n">
        <x:f aca="0">B19-C19</x:f>
        <x:v>0</x:v>
      </x:c>
    </x:row>
    <x:row r="20" ht="15" hidden="0">
      <x:c r="A20" s="4" t="s">
        <x:v>44</x:v>
      </x:c>
      <x:c r="B20" s="4" t="n">
        <x:v>1</x:v>
      </x:c>
      <x:c r="C20" s="4" t="n">
        <x:v>1</x:v>
      </x:c>
      <x:c r="D20" s="4" t="n">
        <x:f aca="0">B20-C20</x:f>
        <x:v>0</x:v>
      </x:c>
    </x:row>
    <x:row r="21" ht="15" hidden="0">
      <x:c r="A21" s="6" t="s">
        <x:v>20</x:v>
      </x:c>
      <x:c r="B21" s="6" t="n">
        <x:f aca="0">SUM(B4:B20)</x:f>
        <x:v>90</x:v>
      </x:c>
      <x:c r="C21" s="6" t="n">
        <x:f aca="0">SUM(C4:C20)</x:f>
        <x:v>90</x:v>
      </x:c>
      <x:c r="D21" s="6" t="n">
        <x:f aca="0">SUM(D4:D20)</x:f>
        <x:v>0</x:v>
      </x:c>
    </x:row>
    <x:row r="23" ht="15" hidden="0">
      <x:c r="A23" s="7" t="s">
        <x:v>45</x:v>
      </x:c>
      <x:c r="B23" s="9" t="n">
        <x:f aca="0">COUNTIF(B4:B20,"&gt;0")</x:f>
        <x:v>17</x:v>
      </x:c>
      <x:c r="C23" s="9" t="n">
        <x:f aca="0">COUNTIF(C4:C20,"&gt;0")</x:f>
        <x:v>17</x:v>
      </x:c>
    </x:row>
    <x:row r="24" ht="15" hidden="0">
      <x:c r="A24" s="7" t="s">
        <x:v>46</x:v>
      </x:c>
      <x:c r="B24" s="9" t="n">
        <x:f aca="0">COUNTIF(D4:D20,0)</x:f>
        <x:v>17</x:v>
      </x:c>
      <x:c r="C24" s="9"/>
    </x:row>
    <x:row r="26" ht="31.5" hidden="0" customHeight="1">
      <x:c r="A26" s="3" t="s">
        <x:v>47</x:v>
      </x:c>
      <x:c r="B26" s="3" t="s">
        <x:v>48</x:v>
      </x:c>
      <x:c r="C26" s="3" t="s">
        <x:v>49</x:v>
      </x:c>
      <x:c r="D26" s="3"/>
    </x:row>
    <x:row r="27" ht="15" hidden="0">
      <x:c r="A27" s="4" t="s">
        <x:v>50</x:v>
      </x:c>
      <x:c r="B27" s="4" t="n">
        <x:v>20</x:v>
      </x:c>
      <x:c r="C27" s="4" t="n">
        <x:v>23</x:v>
      </x:c>
    </x:row>
    <x:row r="28" ht="15" hidden="0">
      <x:c r="A28" s="4" t="s">
        <x:v>51</x:v>
      </x:c>
      <x:c r="B28" s="4" t="n">
        <x:v>17</x:v>
      </x:c>
      <x:c r="C28" s="4" t="n">
        <x:v>21</x:v>
      </x:c>
    </x:row>
    <x:row r="29" ht="15" hidden="0">
      <x:c r="A29" s="4" t="s">
        <x:v>52</x:v>
      </x:c>
      <x:c r="B29" s="4" t="n">
        <x:v>20</x:v>
      </x:c>
      <x:c r="C29" s="4" t="n">
        <x:v>21</x:v>
      </x:c>
    </x:row>
    <x:row r="30" ht="15" hidden="0">
      <x:c r="A30" s="4" t="s">
        <x:v>53</x:v>
      </x:c>
      <x:c r="B30" s="4" t="n">
        <x:v>23</x:v>
      </x:c>
      <x:c r="C30" s="4" t="n">
        <x:v>21</x:v>
      </x:c>
    </x:row>
    <x:row r="31" ht="15" hidden="0">
      <x:c r="A31" s="4" t="s">
        <x:v>54</x:v>
      </x:c>
      <x:c r="B31" s="4" t="n">
        <x:v>10</x:v>
      </x:c>
      <x:c r="C31" s="4" t="n">
        <x:v>4</x:v>
      </x:c>
    </x:row>
    <x:row r="32" ht="15" hidden="0">
      <x:c r="A32" s="6" t="s">
        <x:v>20</x:v>
      </x:c>
      <x:c r="B32" s="6" t="n">
        <x:f aca="0">SUM(B27:B31)</x:f>
        <x:v>90</x:v>
      </x:c>
      <x:c r="C32" s="6" t="n">
        <x:f aca="0">SUM(C27:C31)</x:f>
        <x:v>90</x:v>
      </x:c>
    </x:row>
    <x:row r="34" ht="15" hidden="0">
      <x:c r="A34" s="2" t="s">
        <x:v>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ColWidth="8.6796875" defaultRowHeight="15"/>
  <x:cols>
    <x:col min="1" max="1" width="20" hidden="0" customWidth="1"/>
    <x:col min="2" max="2" width="12" hidden="0" customWidth="1"/>
    <x:col min="3" max="4" width="20" hidden="0" customWidth="1"/>
    <x:col min="5" max="5" width="14" hidden="0" customWidth="1"/>
    <x:col min="6" max="6" width="16" hidden="0" customWidth="1"/>
    <x:col min="7" max="7" width="12" hidden="0" customWidth="1"/>
  </x:cols>
  <x:sheetData>
    <x:row r="1" ht="16.149999618530273" hidden="0">
      <x:c r="A1" s="1" t="s">
        <x:v>56</x:v>
      </x:c>
    </x:row>
    <x:row r="3" ht="31.5" hidden="0" customHeight="1">
      <x:c r="A3" s="3" t="s">
        <x:v>1</x:v>
      </x:c>
      <x:c r="B3" s="3" t="s">
        <x:v>57</x:v>
      </x:c>
      <x:c r="C3" s="3" t="s">
        <x:v>58</x:v>
      </x:c>
      <x:c r="D3" s="3" t="s">
        <x:v>59</x:v>
      </x:c>
      <x:c r="E3" s="3" t="s">
        <x:v>60</x:v>
      </x:c>
      <x:c r="F3" s="3" t="s">
        <x:v>61</x:v>
      </x:c>
      <x:c r="G3" s="3" t="s">
        <x:v>62</x:v>
      </x:c>
    </x:row>
    <x:row r="4" ht="15" hidden="0">
      <x:c r="A4" s="4" t="s">
        <x:v>63</x:v>
      </x:c>
      <x:c r="B4" s="4" t="n">
        <x:v>66</x:v>
      </x:c>
      <x:c r="C4" s="5" t="n">
        <x:v>45750.9247013418</x:v>
      </x:c>
      <x:c r="D4" s="5" t="n">
        <x:v>45750.9288740737</x:v>
      </x:c>
      <x:c r="E4" s="4" t="n">
        <x:f aca="0">ROUND((D4-C4)*86400,1)</x:f>
        <x:v>360.5</x:v>
      </x:c>
      <x:c r="F4" s="4" t="n">
        <x:v>13.4</x:v>
      </x:c>
      <x:c r="G4" s="4" t="s">
        <x:v>64</x:v>
      </x:c>
    </x:row>
    <x:row r="5" ht="15" hidden="0">
      <x:c r="A5" s="4" t="s">
        <x:v>65</x:v>
      </x:c>
      <x:c r="B5" s="4" t="n">
        <x:v>25</x:v>
      </x:c>
      <x:c r="C5" s="5" t="n">
        <x:v>45750.7149072176</x:v>
      </x:c>
      <x:c r="D5" s="5" t="n">
        <x:v>45750.7185162827</x:v>
      </x:c>
      <x:c r="E5" s="4" t="n">
        <x:f aca="0">ROUND((D5-C5)*86400,1)</x:f>
        <x:v>311.8</x:v>
      </x:c>
      <x:c r="F5" s="4" t="n">
        <x:v>12.8</x:v>
      </x:c>
      <x:c r="G5" s="4" t="s">
        <x:v>64</x:v>
      </x:c>
    </x:row>
    <x:row r="6" ht="15" hidden="0">
      <x:c r="A6" s="4" t="s">
        <x:v>66</x:v>
      </x:c>
      <x:c r="B6" s="4" t="n">
        <x:v>9</x:v>
      </x:c>
      <x:c r="C6" s="5" t="n">
        <x:v>45750.7141567873</x:v>
      </x:c>
      <x:c r="D6" s="5" t="n">
        <x:v>45750.7148969507</x:v>
      </x:c>
      <x:c r="E6" s="4" t="n">
        <x:f aca="0">ROUND((D6-C6)*86400,1)</x:f>
        <x:v>64</x:v>
      </x:c>
      <x:c r="F6" s="4" t="n">
        <x:v>31</x:v>
      </x:c>
      <x:c r="G6" s="4" t="s">
        <x:v>64</x:v>
      </x:c>
    </x:row>
    <x:row r="7" ht="15" hidden="0">
      <x:c r="A7" s="4" t="s">
        <x:v>67</x:v>
      </x:c>
      <x:c r="B7" s="4" t="n">
        <x:v>4</x:v>
      </x:c>
      <x:c r="C7" s="5" t="n">
        <x:v>45750.8610618558</x:v>
      </x:c>
      <x:c r="D7" s="5" t="n">
        <x:v>45750.8617791697</x:v>
      </x:c>
      <x:c r="E7" s="4" t="n">
        <x:f aca="0">ROUND((D7-C7)*86400,1)</x:f>
        <x:v>62</x:v>
      </x:c>
      <x:c r="F7" s="4" t="n">
        <x:v>30.5</x:v>
      </x:c>
      <x:c r="G7" s="4" t="s">
        <x:v>64</x:v>
      </x:c>
    </x:row>
    <x:row r="8" ht="15" hidden="0">
      <x:c r="A8" s="4" t="s">
        <x:v>68</x:v>
      </x:c>
      <x:c r="B8" s="4" t="n">
        <x:v>2</x:v>
      </x:c>
      <x:c r="C8" s="5" t="n">
        <x:v>45750.7554191894</x:v>
      </x:c>
      <x:c r="D8" s="5" t="n">
        <x:v>45750.9545269717</x:v>
      </x:c>
      <x:c r="E8" s="4" t="n">
        <x:f aca="0">ROUND((D8-C8)*86400,1)</x:f>
        <x:v>17202.9</x:v>
      </x:c>
      <x:c r="F8" s="4" t="n">
        <x:v>30.6</x:v>
      </x:c>
      <x:c r="G8" s="4" t="s">
        <x:v>64</x:v>
      </x:c>
    </x:row>
    <x:row r="9" ht="15" hidden="0">
      <x:c r="A9" s="4" t="s">
        <x:v>69</x:v>
      </x:c>
      <x:c r="B9" s="4" t="n">
        <x:v>1</x:v>
      </x:c>
      <x:c r="C9" s="5" t="n">
        <x:v>45750.9917219852</x:v>
      </x:c>
      <x:c r="D9" s="5" t="n">
        <x:v>45750.9917219852</x:v>
      </x:c>
      <x:c r="E9" s="4" t="n">
        <x:f aca="0">ROUND((D9-C9)*86400,1)</x:f>
        <x:v>0</x:v>
      </x:c>
      <x:c r="F9" s="4" t="n">
        <x:v>12.9</x:v>
      </x:c>
      <x:c r="G9" s="4" t="s">
        <x:v>64</x:v>
      </x:c>
    </x:row>
    <x:row r="10" ht="15" hidden="0">
      <x:c r="A10" s="4" t="s">
        <x:v>70</x:v>
      </x:c>
      <x:c r="B10" s="4" t="n">
        <x:v>1</x:v>
      </x:c>
      <x:c r="C10" s="5" t="n">
        <x:v>45750.7901182457</x:v>
      </x:c>
      <x:c r="D10" s="5" t="n">
        <x:v>45750.7901182457</x:v>
      </x:c>
      <x:c r="E10" s="4" t="n">
        <x:f aca="0">ROUND((D10-C10)*86400,1)</x:f>
        <x:v>0</x:v>
      </x:c>
      <x:c r="F10" s="4" t="n">
        <x:v>13.8</x:v>
      </x:c>
      <x:c r="G10" s="4" t="s">
        <x:v>64</x:v>
      </x:c>
    </x:row>
    <x:row r="11" ht="15" hidden="0">
      <x:c r="A11" s="4" t="s">
        <x:v>71</x:v>
      </x:c>
      <x:c r="B11" s="4" t="n">
        <x:v>1</x:v>
      </x:c>
      <x:c r="C11" s="5" t="n">
        <x:v>45750.9878857099</x:v>
      </x:c>
      <x:c r="D11" s="5" t="n">
        <x:v>45750.9878857099</x:v>
      </x:c>
      <x:c r="E11" s="4" t="n">
        <x:f aca="0">ROUND((D11-C11)*86400,1)</x:f>
        <x:v>0</x:v>
      </x:c>
      <x:c r="F11" s="4" t="n">
        <x:v>14.3</x:v>
      </x:c>
      <x:c r="G11" s="4" t="s">
        <x:v>64</x:v>
      </x:c>
    </x:row>
    <x:row r="12" ht="15" hidden="0">
      <x:c r="A12" s="4" t="s">
        <x:v>72</x:v>
      </x:c>
      <x:c r="B12" s="4" t="n">
        <x:v>1</x:v>
      </x:c>
      <x:c r="C12" s="5" t="n">
        <x:v>45750.7175390288</x:v>
      </x:c>
      <x:c r="D12" s="5" t="n">
        <x:v>45750.7175390288</x:v>
      </x:c>
      <x:c r="E12" s="4" t="n">
        <x:f aca="0">ROUND((D12-C12)*86400,1)</x:f>
        <x:v>0</x:v>
      </x:c>
      <x:c r="F12" s="4" t="n">
        <x:v>15.8</x:v>
      </x:c>
      <x:c r="G12" s="4" t="s">
        <x:v>64</x:v>
      </x:c>
    </x:row>
    <x:row r="13" ht="15" hidden="0">
      <x:c r="A13" s="4" t="s">
        <x:v>73</x:v>
      </x:c>
      <x:c r="B13" s="4" t="n">
        <x:v>1</x:v>
      </x:c>
      <x:c r="C13" s="5" t="n">
        <x:v>45750.6963706315</x:v>
      </x:c>
      <x:c r="D13" s="5" t="n">
        <x:v>45750.6963706315</x:v>
      </x:c>
      <x:c r="E13" s="4" t="n">
        <x:f aca="0">ROUND((D13-C13)*86400,1)</x:f>
        <x:v>0</x:v>
      </x:c>
      <x:c r="F13" s="4" t="n">
        <x:v>12.2</x:v>
      </x:c>
      <x:c r="G13" s="4" t="s">
        <x:v>64</x:v>
      </x:c>
    </x:row>
    <x:row r="14" ht="15" hidden="0">
      <x:c r="A14" s="4" t="s">
        <x:v>74</x:v>
      </x:c>
      <x:c r="B14" s="4" t="n">
        <x:v>1</x:v>
      </x:c>
      <x:c r="C14" s="5" t="n">
        <x:v>45750.6620566782</x:v>
      </x:c>
      <x:c r="D14" s="5" t="n">
        <x:v>45750.6620566782</x:v>
      </x:c>
      <x:c r="E14" s="4" t="n">
        <x:f aca="0">ROUND((D14-C14)*86400,1)</x:f>
        <x:v>0</x:v>
      </x:c>
      <x:c r="F14" s="4" t="n">
        <x:v>9.9</x:v>
      </x:c>
      <x:c r="G14" s="4" t="s">
        <x:v>64</x:v>
      </x:c>
    </x:row>
    <x:row r="15" ht="15" hidden="0">
      <x:c r="A15" s="4" t="s">
        <x:v>75</x:v>
      </x:c>
      <x:c r="B15" s="4" t="n">
        <x:v>1</x:v>
      </x:c>
      <x:c r="C15" s="5" t="n">
        <x:v>45750.7342871677</x:v>
      </x:c>
      <x:c r="D15" s="5" t="n">
        <x:v>45750.7342871677</x:v>
      </x:c>
      <x:c r="E15" s="4" t="n">
        <x:f aca="0">ROUND((D15-C15)*86400,1)</x:f>
        <x:v>0</x:v>
      </x:c>
      <x:c r="F15" s="4" t="n">
        <x:v>13.9</x:v>
      </x:c>
      <x:c r="G15" s="4" t="s">
        <x:v>64</x:v>
      </x:c>
    </x:row>
    <x:row r="16" ht="15" hidden="0">
      <x:c r="A16" s="4" t="s">
        <x:v>76</x:v>
      </x:c>
      <x:c r="B16" s="4" t="n">
        <x:v>1</x:v>
      </x:c>
      <x:c r="C16" s="5" t="n">
        <x:v>45750.6922009519</x:v>
      </x:c>
      <x:c r="D16" s="5" t="n">
        <x:v>45750.6922009519</x:v>
      </x:c>
      <x:c r="E16" s="4" t="n">
        <x:f aca="0">ROUND((D16-C16)*86400,1)</x:f>
        <x:v>0</x:v>
      </x:c>
      <x:c r="F16" s="4" t="n">
        <x:v>13.6</x:v>
      </x:c>
      <x:c r="G16" s="4" t="s">
        <x:v>64</x:v>
      </x:c>
    </x:row>
    <x:row r="17" ht="15" hidden="0">
      <x:c r="A17" s="4" t="s">
        <x:v>77</x:v>
      </x:c>
      <x:c r="B17" s="4" t="n">
        <x:v>1</x:v>
      </x:c>
      <x:c r="C17" s="5" t="n">
        <x:v>45750.8352961566</x:v>
      </x:c>
      <x:c r="D17" s="5" t="n">
        <x:v>45750.8352961566</x:v>
      </x:c>
      <x:c r="E17" s="4" t="n">
        <x:f aca="0">ROUND((D17-C17)*86400,1)</x:f>
        <x:v>0</x:v>
      </x:c>
      <x:c r="F17" s="4" t="n">
        <x:v>13.6</x:v>
      </x:c>
      <x:c r="G17" s="4" t="s">
        <x:v>64</x:v>
      </x:c>
    </x:row>
    <x:row r="18" ht="15" hidden="0">
      <x:c r="A18" s="4" t="s">
        <x:v>78</x:v>
      </x:c>
      <x:c r="B18" s="4" t="n">
        <x:v>1</x:v>
      </x:c>
      <x:c r="C18" s="5" t="n">
        <x:v>45750.9308229516</x:v>
      </x:c>
      <x:c r="D18" s="5" t="n">
        <x:v>45750.9308229516</x:v>
      </x:c>
      <x:c r="E18" s="4" t="n">
        <x:f aca="0">ROUND((D18-C18)*86400,1)</x:f>
        <x:v>0</x:v>
      </x:c>
      <x:c r="F18" s="4" t="n">
        <x:v>12.8</x:v>
      </x:c>
      <x:c r="G18" s="4" t="s">
        <x:v>64</x:v>
      </x:c>
    </x:row>
    <x:row r="19" ht="15" hidden="0">
      <x:c r="A19" s="4" t="s">
        <x:v>79</x:v>
      </x:c>
      <x:c r="B19" s="4" t="n">
        <x:v>1</x:v>
      </x:c>
      <x:c r="C19" s="5" t="n">
        <x:v>45750.7677950534</x:v>
      </x:c>
      <x:c r="D19" s="5" t="n">
        <x:v>45750.7677950534</x:v>
      </x:c>
      <x:c r="E19" s="4" t="n">
        <x:f aca="0">ROUND((D19-C19)*86400,1)</x:f>
        <x:v>0</x:v>
      </x:c>
      <x:c r="F19" s="4" t="n">
        <x:v>13.7</x:v>
      </x:c>
      <x:c r="G19" s="4" t="s">
        <x:v>64</x:v>
      </x:c>
    </x:row>
    <x:row r="20" ht="15" hidden="0">
      <x:c r="A20" s="4" t="s">
        <x:v>80</x:v>
      </x:c>
      <x:c r="B20" s="4" t="n">
        <x:v>1</x:v>
      </x:c>
      <x:c r="C20" s="5" t="n">
        <x:v>45750.8046168924</x:v>
      </x:c>
      <x:c r="D20" s="5" t="n">
        <x:v>45750.8046168924</x:v>
      </x:c>
      <x:c r="E20" s="4" t="n">
        <x:f aca="0">ROUND((D20-C20)*86400,1)</x:f>
        <x:v>0</x:v>
      </x:c>
      <x:c r="F20" s="4" t="n">
        <x:v>13.4</x:v>
      </x:c>
      <x:c r="G20" s="4" t="s">
        <x:v>64</x:v>
      </x:c>
    </x:row>
    <x:row r="21" ht="15" hidden="0">
      <x:c r="A21" s="4" t="s">
        <x:v>81</x:v>
      </x:c>
      <x:c r="B21" s="4" t="n">
        <x:v>1</x:v>
      </x:c>
      <x:c r="C21" s="5" t="n">
        <x:v>45750.9081225145</x:v>
      </x:c>
      <x:c r="D21" s="5" t="n">
        <x:v>45750.9081225145</x:v>
      </x:c>
      <x:c r="E21" s="4" t="n">
        <x:f aca="0">ROUND((D21-C21)*86400,1)</x:f>
        <x:v>0</x:v>
      </x:c>
      <x:c r="F21" s="4" t="n">
        <x:v>13.8</x:v>
      </x:c>
      <x:c r="G21" s="4" t="s">
        <x:v>64</x:v>
      </x:c>
    </x:row>
    <x:row r="22" ht="15" hidden="0">
      <x:c r="A22" s="4" t="s">
        <x:v>82</x:v>
      </x:c>
      <x:c r="B22" s="4" t="n">
        <x:v>1</x:v>
      </x:c>
      <x:c r="C22" s="5" t="n">
        <x:v>45750.9134459446</x:v>
      </x:c>
      <x:c r="D22" s="5" t="n">
        <x:v>45750.9134459446</x:v>
      </x:c>
      <x:c r="E22" s="4" t="n">
        <x:f aca="0">ROUND((D22-C22)*86400,1)</x:f>
        <x:v>0</x:v>
      </x:c>
      <x:c r="F22" s="4" t="n">
        <x:v>13.8</x:v>
      </x:c>
      <x:c r="G22" s="4" t="s">
        <x:v>64</x:v>
      </x:c>
    </x:row>
    <x:row r="23" ht="15" hidden="0">
      <x:c r="A23" s="4" t="s">
        <x:v>83</x:v>
      </x:c>
      <x:c r="B23" s="4" t="n">
        <x:v>1</x:v>
      </x:c>
      <x:c r="C23" s="5" t="n">
        <x:v>45750.9646225717</x:v>
      </x:c>
      <x:c r="D23" s="5" t="n">
        <x:v>45750.9646225717</x:v>
      </x:c>
      <x:c r="E23" s="4" t="n">
        <x:f aca="0">ROUND((D23-C23)*86400,1)</x:f>
        <x:v>0</x:v>
      </x:c>
      <x:c r="F23" s="4" t="n">
        <x:v>12.8</x:v>
      </x:c>
      <x:c r="G23" s="4" t="s">
        <x:v>64</x:v>
      </x:c>
    </x:row>
    <x:row r="24" ht="15" hidden="0">
      <x:c r="A24" s="4" t="s">
        <x:v>84</x:v>
      </x:c>
      <x:c r="B24" s="4" t="n">
        <x:v>1</x:v>
      </x:c>
      <x:c r="C24" s="5" t="n">
        <x:v>45750.7407136879</x:v>
      </x:c>
      <x:c r="D24" s="5" t="n">
        <x:v>45750.7407136879</x:v>
      </x:c>
      <x:c r="E24" s="4" t="n">
        <x:f aca="0">ROUND((D24-C24)*86400,1)</x:f>
        <x:v>0</x:v>
      </x:c>
      <x:c r="F24" s="4" t="n">
        <x:v>30.2</x:v>
      </x:c>
      <x:c r="G24" s="4" t="s">
        <x:v>64</x:v>
      </x:c>
    </x:row>
    <x:row r="25" ht="15" hidden="0">
      <x:c r="A25" s="4" t="s">
        <x:v>85</x:v>
      </x:c>
      <x:c r="B25" s="4" t="n">
        <x:v>1</x:v>
      </x:c>
      <x:c r="C25" s="5" t="n">
        <x:v>45750.8407998695</x:v>
      </x:c>
      <x:c r="D25" s="5" t="n">
        <x:v>45750.8407998695</x:v>
      </x:c>
      <x:c r="E25" s="4" t="n">
        <x:f aca="0">ROUND((D25-C25)*86400,1)</x:f>
        <x:v>0</x:v>
      </x:c>
      <x:c r="F25" s="4" t="n">
        <x:v>13.9</x:v>
      </x:c>
      <x:c r="G25" s="4" t="s">
        <x:v>64</x:v>
      </x:c>
    </x:row>
    <x:row r="26" ht="15" hidden="0">
      <x:c r="A26" s="4" t="s">
        <x:v>86</x:v>
      </x:c>
      <x:c r="B26" s="4" t="n">
        <x:v>1</x:v>
      </x:c>
      <x:c r="C26" s="5" t="n">
        <x:v>45750.6719780757</x:v>
      </x:c>
      <x:c r="D26" s="5" t="n">
        <x:v>45750.6719780757</x:v>
      </x:c>
      <x:c r="E26" s="4" t="n">
        <x:f aca="0">ROUND((D26-C26)*86400,1)</x:f>
        <x:v>0</x:v>
      </x:c>
      <x:c r="F26" s="4" t="n">
        <x:v>13.5</x:v>
      </x:c>
      <x:c r="G26" s="4" t="s">
        <x:v>64</x:v>
      </x:c>
    </x:row>
    <x:row r="27" ht="15" hidden="0">
      <x:c r="A27" s="4" t="s">
        <x:v>87</x:v>
      </x:c>
      <x:c r="B27" s="4" t="n">
        <x:v>1</x:v>
      </x:c>
      <x:c r="C27" s="5" t="n">
        <x:v>45750.9637855498</x:v>
      </x:c>
      <x:c r="D27" s="5" t="n">
        <x:v>45750.9637855498</x:v>
      </x:c>
      <x:c r="E27" s="4" t="n">
        <x:f aca="0">ROUND((D27-C27)*86400,1)</x:f>
        <x:v>0</x:v>
      </x:c>
      <x:c r="F27" s="4" t="n">
        <x:v>14.5</x:v>
      </x:c>
      <x:c r="G27" s="4" t="s">
        <x:v>64</x:v>
      </x:c>
    </x:row>
    <x:row r="28" ht="15" hidden="0">
      <x:c r="A28" s="4" t="s">
        <x:v>88</x:v>
      </x:c>
      <x:c r="B28" s="4" t="n">
        <x:v>1</x:v>
      </x:c>
      <x:c r="C28" s="5" t="n">
        <x:v>45750.7687753957</x:v>
      </x:c>
      <x:c r="D28" s="5" t="n">
        <x:v>45750.7687753957</x:v>
      </x:c>
      <x:c r="E28" s="4" t="n">
        <x:f aca="0">ROUND((D28-C28)*86400,1)</x:f>
        <x:v>0</x:v>
      </x:c>
      <x:c r="F28" s="4" t="n">
        <x:v>13.9</x:v>
      </x:c>
      <x:c r="G28" s="4" t="s">
        <x:v>64</x:v>
      </x:c>
    </x:row>
    <x:row r="29" ht="15" hidden="0">
      <x:c r="A29" s="4" t="s">
        <x:v>89</x:v>
      </x:c>
      <x:c r="B29" s="4" t="n">
        <x:v>1</x:v>
      </x:c>
      <x:c r="C29" s="5" t="n">
        <x:v>45750.9107777028</x:v>
      </x:c>
      <x:c r="D29" s="5" t="n">
        <x:v>45750.9107777028</x:v>
      </x:c>
      <x:c r="E29" s="4" t="n">
        <x:f aca="0">ROUND((D29-C29)*86400,1)</x:f>
        <x:v>0</x:v>
      </x:c>
      <x:c r="F29" s="4" t="n">
        <x:v>13.4</x:v>
      </x:c>
      <x:c r="G29" s="4" t="s">
        <x:v>64</x:v>
      </x:c>
    </x:row>
    <x:row r="30" ht="15" hidden="0">
      <x:c r="A30" s="4" t="s">
        <x:v>90</x:v>
      </x:c>
      <x:c r="B30" s="4" t="n">
        <x:v>1</x:v>
      </x:c>
      <x:c r="C30" s="5" t="n">
        <x:v>45750.8099627796</x:v>
      </x:c>
      <x:c r="D30" s="5" t="n">
        <x:v>45750.8099627796</x:v>
      </x:c>
      <x:c r="E30" s="4" t="n">
        <x:f aca="0">ROUND((D30-C30)*86400,1)</x:f>
        <x:v>0</x:v>
      </x:c>
      <x:c r="F30" s="4" t="n">
        <x:v>13.7</x:v>
      </x:c>
      <x:c r="G30" s="4" t="s">
        <x:v>64</x:v>
      </x:c>
    </x:row>
    <x:row r="31" ht="15" hidden="0">
      <x:c r="A31" s="4" t="s">
        <x:v>91</x:v>
      </x:c>
      <x:c r="B31" s="4" t="n">
        <x:v>1</x:v>
      </x:c>
      <x:c r="C31" s="5" t="n">
        <x:v>45750.7938469158</x:v>
      </x:c>
      <x:c r="D31" s="5" t="n">
        <x:v>45750.7938469158</x:v>
      </x:c>
      <x:c r="E31" s="4" t="n">
        <x:f aca="0">ROUND((D31-C31)*86400,1)</x:f>
        <x:v>0</x:v>
      </x:c>
      <x:c r="F31" s="4" t="n">
        <x:v>13.2</x:v>
      </x:c>
      <x:c r="G31" s="4" t="s">
        <x:v>64</x:v>
      </x:c>
    </x:row>
    <x:row r="32" ht="15" hidden="0">
      <x:c r="A32" s="4" t="s">
        <x:v>92</x:v>
      </x:c>
      <x:c r="B32" s="4" t="n">
        <x:v>1</x:v>
      </x:c>
      <x:c r="C32" s="5" t="n">
        <x:v>45750.7019347407</x:v>
      </x:c>
      <x:c r="D32" s="5" t="n">
        <x:v>45750.7019347407</x:v>
      </x:c>
      <x:c r="E32" s="4" t="n">
        <x:f aca="0">ROUND((D32-C32)*86400,1)</x:f>
        <x:v>0</x:v>
      </x:c>
      <x:c r="F32" s="4" t="n">
        <x:v>30.3</x:v>
      </x:c>
      <x:c r="G32" s="4" t="s">
        <x:v>64</x:v>
      </x:c>
    </x:row>
    <x:row r="33" ht="15" hidden="0">
      <x:c r="A33" s="4" t="s">
        <x:v>93</x:v>
      </x:c>
      <x:c r="B33" s="4" t="n">
        <x:v>1</x:v>
      </x:c>
      <x:c r="C33" s="5" t="n">
        <x:v>45750.875899664</x:v>
      </x:c>
      <x:c r="D33" s="5" t="n">
        <x:v>45750.875899664</x:v>
      </x:c>
      <x:c r="E33" s="4" t="n">
        <x:f aca="0">ROUND((D33-C33)*86400,1)</x:f>
        <x:v>0</x:v>
      </x:c>
      <x:c r="F33" s="4" t="n">
        <x:v>12.9</x:v>
      </x:c>
      <x:c r="G33" s="4" t="s">
        <x:v>64</x:v>
      </x:c>
    </x:row>
    <x:row r="34" ht="15" hidden="0">
      <x:c r="A34" s="4" t="s">
        <x:v>94</x:v>
      </x:c>
      <x:c r="B34" s="4" t="n">
        <x:v>1</x:v>
      </x:c>
      <x:c r="C34" s="5" t="n">
        <x:v>45750.8112058068</x:v>
      </x:c>
      <x:c r="D34" s="5" t="n">
        <x:v>45750.8112058068</x:v>
      </x:c>
      <x:c r="E34" s="4" t="n">
        <x:f aca="0">ROUND((D34-C34)*86400,1)</x:f>
        <x:v>0</x:v>
      </x:c>
      <x:c r="F34" s="4" t="n">
        <x:v>13.6</x:v>
      </x:c>
      <x:c r="G34" s="4" t="s">
        <x:v>64</x:v>
      </x:c>
    </x:row>
    <x:row r="35" ht="15" hidden="0">
      <x:c r="A35" s="4" t="s">
        <x:v>95</x:v>
      </x:c>
      <x:c r="B35" s="4" t="n">
        <x:v>1</x:v>
      </x:c>
      <x:c r="C35" s="5" t="n">
        <x:v>45750.9154153341</x:v>
      </x:c>
      <x:c r="D35" s="5" t="n">
        <x:v>45750.9154153341</x:v>
      </x:c>
      <x:c r="E35" s="4" t="n">
        <x:f aca="0">ROUND((D35-C35)*86400,1)</x:f>
        <x:v>0</x:v>
      </x:c>
      <x:c r="F35" s="4" t="n">
        <x:v>13.8</x:v>
      </x:c>
      <x:c r="G35" s="4" t="s">
        <x:v>64</x:v>
      </x:c>
    </x:row>
    <x:row r="36" ht="15" hidden="0">
      <x:c r="A36" s="4" t="s">
        <x:v>96</x:v>
      </x:c>
      <x:c r="B36" s="4" t="n">
        <x:v>1</x:v>
      </x:c>
      <x:c r="C36" s="5" t="n">
        <x:v>45750.9977737356</x:v>
      </x:c>
      <x:c r="D36" s="5" t="n">
        <x:v>45750.9977737356</x:v>
      </x:c>
      <x:c r="E36" s="4" t="n">
        <x:f aca="0">ROUND((D36-C36)*86400,1)</x:f>
        <x:v>0</x:v>
      </x:c>
      <x:c r="F36" s="4" t="n">
        <x:v>13.8</x:v>
      </x:c>
      <x:c r="G36" s="4" t="s">
        <x:v>64</x:v>
      </x:c>
    </x:row>
    <x:row r="37" ht="15" hidden="0">
      <x:c r="A37" s="4" t="s">
        <x:v>97</x:v>
      </x:c>
      <x:c r="B37" s="4" t="n">
        <x:v>1</x:v>
      </x:c>
      <x:c r="C37" s="5" t="n">
        <x:v>45750.9760340686</x:v>
      </x:c>
      <x:c r="D37" s="5" t="n">
        <x:v>45750.9760340686</x:v>
      </x:c>
      <x:c r="E37" s="4" t="n">
        <x:f aca="0">ROUND((D37-C37)*86400,1)</x:f>
        <x:v>0</x:v>
      </x:c>
      <x:c r="F37" s="4" t="n">
        <x:v>13.7</x:v>
      </x:c>
      <x:c r="G37" s="4" t="s">
        <x:v>64</x:v>
      </x:c>
    </x:row>
    <x:row r="38" ht="15" hidden="0">
      <x:c r="A38" s="4" t="s">
        <x:v>98</x:v>
      </x:c>
      <x:c r="B38" s="4" t="n">
        <x:v>1</x:v>
      </x:c>
      <x:c r="C38" s="5" t="n">
        <x:v>45750.8840683759</x:v>
      </x:c>
      <x:c r="D38" s="5" t="n">
        <x:v>45750.8840683759</x:v>
      </x:c>
      <x:c r="E38" s="4" t="n">
        <x:f aca="0">ROUND((D38-C38)*86400,1)</x:f>
        <x:v>0</x:v>
      </x:c>
      <x:c r="F38" s="4" t="n">
        <x:v>13.1</x:v>
      </x:c>
      <x:c r="G38" s="4" t="s">
        <x:v>64</x:v>
      </x:c>
    </x:row>
    <x:row r="39" ht="15" hidden="0">
      <x:c r="A39" s="4" t="s">
        <x:v>99</x:v>
      </x:c>
      <x:c r="B39" s="4" t="n">
        <x:v>1</x:v>
      </x:c>
      <x:c r="C39" s="5" t="n">
        <x:v>45750.9157937091</x:v>
      </x:c>
      <x:c r="D39" s="5" t="n">
        <x:v>45750.9157937091</x:v>
      </x:c>
      <x:c r="E39" s="4" t="n">
        <x:f aca="0">ROUND((D39-C39)*86400,1)</x:f>
        <x:v>0</x:v>
      </x:c>
      <x:c r="F39" s="4" t="n">
        <x:v>12.4</x:v>
      </x:c>
      <x:c r="G39" s="4" t="s">
        <x:v>64</x:v>
      </x:c>
    </x:row>
    <x:row r="40" ht="15" hidden="0">
      <x:c r="A40" s="4" t="s">
        <x:v>100</x:v>
      </x:c>
      <x:c r="B40" s="4" t="n">
        <x:v>1</x:v>
      </x:c>
      <x:c r="C40" s="5" t="n">
        <x:v>45750.9262810368</x:v>
      </x:c>
      <x:c r="D40" s="5" t="n">
        <x:v>45750.9262810368</x:v>
      </x:c>
      <x:c r="E40" s="4" t="n">
        <x:f aca="0">ROUND((D40-C40)*86400,1)</x:f>
        <x:v>0</x:v>
      </x:c>
      <x:c r="F40" s="4" t="n">
        <x:v>29.6</x:v>
      </x:c>
      <x:c r="G40" s="4" t="s">
        <x:v>64</x:v>
      </x:c>
    </x:row>
    <x:row r="41" ht="15" hidden="0">
      <x:c r="A41" s="4" t="s">
        <x:v>101</x:v>
      </x:c>
      <x:c r="B41" s="4" t="n">
        <x:v>1</x:v>
      </x:c>
      <x:c r="C41" s="5" t="n">
        <x:v>45750.8275627613</x:v>
      </x:c>
      <x:c r="D41" s="5" t="n">
        <x:v>45750.8275627613</x:v>
      </x:c>
      <x:c r="E41" s="4" t="n">
        <x:f aca="0">ROUND((D41-C41)*86400,1)</x:f>
        <x:v>0</x:v>
      </x:c>
      <x:c r="F41" s="4" t="n">
        <x:v>30.7</x:v>
      </x:c>
      <x:c r="G41" s="4" t="s">
        <x:v>64</x:v>
      </x:c>
    </x:row>
    <x:row r="42" ht="15" hidden="0">
      <x:c r="A42" s="4" t="s">
        <x:v>102</x:v>
      </x:c>
      <x:c r="B42" s="4" t="n">
        <x:v>1</x:v>
      </x:c>
      <x:c r="C42" s="5" t="n">
        <x:v>45750.685306674</x:v>
      </x:c>
      <x:c r="D42" s="5" t="n">
        <x:v>45750.685306674</x:v>
      </x:c>
      <x:c r="E42" s="4" t="n">
        <x:f aca="0">ROUND((D42-C42)*86400,1)</x:f>
        <x:v>0</x:v>
      </x:c>
      <x:c r="F42" s="4" t="n">
        <x:v>30.8</x:v>
      </x:c>
      <x:c r="G42" s="4" t="s">
        <x:v>64</x:v>
      </x:c>
    </x:row>
    <x:row r="43" ht="15" hidden="0">
      <x:c r="A43" s="4" t="s">
        <x:v>103</x:v>
      </x:c>
      <x:c r="B43" s="4" t="n">
        <x:v>1</x:v>
      </x:c>
      <x:c r="C43" s="5" t="n">
        <x:v>45750.9098245495</x:v>
      </x:c>
      <x:c r="D43" s="5" t="n">
        <x:v>45750.9098245495</x:v>
      </x:c>
      <x:c r="E43" s="4" t="n">
        <x:f aca="0">ROUND((D43-C43)*86400,1)</x:f>
        <x:v>0</x:v>
      </x:c>
      <x:c r="F43" s="4" t="n">
        <x:v>33.7</x:v>
      </x:c>
      <x:c r="G43" s="4" t="s">
        <x:v>64</x:v>
      </x:c>
    </x:row>
    <x:row r="44" ht="15" hidden="0">
      <x:c r="A44" s="4" t="s">
        <x:v>104</x:v>
      </x:c>
      <x:c r="B44" s="4" t="n">
        <x:v>1</x:v>
      </x:c>
      <x:c r="C44" s="5" t="n">
        <x:v>45750.8114853593</x:v>
      </x:c>
      <x:c r="D44" s="5" t="n">
        <x:v>45750.8114853593</x:v>
      </x:c>
      <x:c r="E44" s="4" t="n">
        <x:f aca="0">ROUND((D44-C44)*86400,1)</x:f>
        <x:v>0</x:v>
      </x:c>
      <x:c r="F44" s="4" t="n">
        <x:v>9.8</x:v>
      </x:c>
      <x:c r="G44" s="4" t="s">
        <x:v>64</x:v>
      </x:c>
    </x:row>
    <x:row r="45" ht="15" hidden="0">
      <x:c r="A45" s="4" t="s">
        <x:v>105</x:v>
      </x:c>
      <x:c r="B45" s="4" t="n">
        <x:v>1</x:v>
      </x:c>
      <x:c r="C45" s="5" t="n">
        <x:v>45750.8517060254</x:v>
      </x:c>
      <x:c r="D45" s="5" t="n">
        <x:v>45750.8517060254</x:v>
      </x:c>
      <x:c r="E45" s="4" t="n">
        <x:f aca="0">ROUND((D45-C45)*86400,1)</x:f>
        <x:v>0</x:v>
      </x:c>
      <x:c r="F45" s="4" t="n">
        <x:v>13.6</x:v>
      </x:c>
      <x:c r="G45" s="4" t="s">
        <x:v>64</x:v>
      </x:c>
    </x:row>
    <x:row r="46" ht="15" hidden="0">
      <x:c r="A46" s="4" t="s">
        <x:v>106</x:v>
      </x:c>
      <x:c r="B46" s="4" t="n">
        <x:v>1</x:v>
      </x:c>
      <x:c r="C46" s="5" t="n">
        <x:v>45750.9760717369</x:v>
      </x:c>
      <x:c r="D46" s="5" t="n">
        <x:v>45750.9760717369</x:v>
      </x:c>
      <x:c r="E46" s="4" t="n">
        <x:f aca="0">ROUND((D46-C46)*86400,1)</x:f>
        <x:v>0</x:v>
      </x:c>
      <x:c r="F46" s="4" t="n">
        <x:v>15.2</x:v>
      </x:c>
      <x:c r="G46" s="4" t="s">
        <x:v>64</x:v>
      </x:c>
    </x:row>
    <x:row r="47" ht="15" hidden="0">
      <x:c r="A47" s="4" t="s">
        <x:v>107</x:v>
      </x:c>
      <x:c r="B47" s="4" t="n">
        <x:v>1</x:v>
      </x:c>
      <x:c r="C47" s="5" t="n">
        <x:v>45750.7284907511</x:v>
      </x:c>
      <x:c r="D47" s="5" t="n">
        <x:v>45750.7284907511</x:v>
      </x:c>
      <x:c r="E47" s="4" t="n">
        <x:f aca="0">ROUND((D47-C47)*86400,1)</x:f>
        <x:v>0</x:v>
      </x:c>
      <x:c r="F47" s="4" t="n">
        <x:v>12.2</x:v>
      </x:c>
      <x:c r="G47" s="4" t="s">
        <x:v>64</x:v>
      </x:c>
    </x:row>
    <x:row r="48" ht="15" hidden="0">
      <x:c r="A48" s="4" t="s">
        <x:v>108</x:v>
      </x:c>
      <x:c r="B48" s="4" t="n">
        <x:v>1</x:v>
      </x:c>
      <x:c r="C48" s="5" t="n">
        <x:v>45750.9084767864</x:v>
      </x:c>
      <x:c r="D48" s="5" t="n">
        <x:v>45750.9084767864</x:v>
      </x:c>
      <x:c r="E48" s="4" t="n">
        <x:f aca="0">ROUND((D48-C48)*86400,1)</x:f>
        <x:v>0</x:v>
      </x:c>
      <x:c r="F48" s="4" t="n">
        <x:v>13.5</x:v>
      </x:c>
      <x:c r="G48" s="4" t="s">
        <x:v>64</x:v>
      </x:c>
    </x:row>
    <x:row r="49" ht="15" hidden="0">
      <x:c r="A49" s="4" t="s">
        <x:v>109</x:v>
      </x:c>
      <x:c r="B49" s="4" t="n">
        <x:v>1</x:v>
      </x:c>
      <x:c r="C49" s="5" t="n">
        <x:v>45750.946764017</x:v>
      </x:c>
      <x:c r="D49" s="5" t="n">
        <x:v>45750.946764017</x:v>
      </x:c>
      <x:c r="E49" s="4" t="n">
        <x:f aca="0">ROUND((D49-C49)*86400,1)</x:f>
        <x:v>0</x:v>
      </x:c>
      <x:c r="F49" s="4" t="n">
        <x:v>14.2</x:v>
      </x:c>
      <x:c r="G49" s="4" t="s">
        <x:v>64</x:v>
      </x:c>
    </x:row>
    <x:row r="50" ht="15" hidden="0">
      <x:c r="A50" s="4" t="s">
        <x:v>110</x:v>
      </x:c>
      <x:c r="B50" s="4" t="n">
        <x:v>1</x:v>
      </x:c>
      <x:c r="C50" s="5" t="n">
        <x:v>45750.7567061977</x:v>
      </x:c>
      <x:c r="D50" s="5" t="n">
        <x:v>45750.7567061977</x:v>
      </x:c>
      <x:c r="E50" s="4" t="n">
        <x:f aca="0">ROUND((D50-C50)*86400,1)</x:f>
        <x:v>0</x:v>
      </x:c>
      <x:c r="F50" s="4" t="n">
        <x:v>13.4</x:v>
      </x:c>
      <x:c r="G50" s="4" t="s">
        <x:v>64</x:v>
      </x:c>
    </x:row>
    <x:row r="51" ht="15" hidden="0">
      <x:c r="A51" s="4" t="s">
        <x:v>111</x:v>
      </x:c>
      <x:c r="B51" s="4" t="n">
        <x:v>1</x:v>
      </x:c>
      <x:c r="C51" s="5" t="n">
        <x:v>45750.967368278</x:v>
      </x:c>
      <x:c r="D51" s="5" t="n">
        <x:v>45750.967368278</x:v>
      </x:c>
      <x:c r="E51" s="4" t="n">
        <x:f aca="0">ROUND((D51-C51)*86400,1)</x:f>
        <x:v>0</x:v>
      </x:c>
      <x:c r="F51" s="4" t="n">
        <x:v>14.5</x:v>
      </x:c>
      <x:c r="G51" s="4" t="s">
        <x:v>64</x:v>
      </x:c>
    </x:row>
    <x:row r="52" ht="15" hidden="0">
      <x:c r="A52" s="4" t="s">
        <x:v>112</x:v>
      </x:c>
      <x:c r="B52" s="4" t="n">
        <x:v>1</x:v>
      </x:c>
      <x:c r="C52" s="5" t="n">
        <x:v>45750.8341881768</x:v>
      </x:c>
      <x:c r="D52" s="5" t="n">
        <x:v>45750.8341881768</x:v>
      </x:c>
      <x:c r="E52" s="4" t="n">
        <x:f aca="0">ROUND((D52-C52)*86400,1)</x:f>
        <x:v>0</x:v>
      </x:c>
      <x:c r="F52" s="4" t="n">
        <x:v>15.2</x:v>
      </x:c>
      <x:c r="G52" s="4" t="s">
        <x:v>64</x:v>
      </x:c>
    </x:row>
    <x:row r="53" ht="15" hidden="0">
      <x:c r="A53" s="4" t="s">
        <x:v>113</x:v>
      </x:c>
      <x:c r="B53" s="4" t="n">
        <x:v>1</x:v>
      </x:c>
      <x:c r="C53" s="5" t="n">
        <x:v>45750.7699352165</x:v>
      </x:c>
      <x:c r="D53" s="5" t="n">
        <x:v>45750.7699352165</x:v>
      </x:c>
      <x:c r="E53" s="4" t="n">
        <x:f aca="0">ROUND((D53-C53)*86400,1)</x:f>
        <x:v>0</x:v>
      </x:c>
      <x:c r="F53" s="4" t="n">
        <x:v>15.5</x:v>
      </x:c>
      <x:c r="G53" s="4" t="s">
        <x:v>64</x:v>
      </x:c>
    </x:row>
    <x:row r="54" ht="15" hidden="0">
      <x:c r="A54" s="4" t="s">
        <x:v>114</x:v>
      </x:c>
      <x:c r="B54" s="4" t="n">
        <x:v>1</x:v>
      </x:c>
      <x:c r="C54" s="5" t="n">
        <x:v>45750.7562811113</x:v>
      </x:c>
      <x:c r="D54" s="5" t="n">
        <x:v>45750.7562811113</x:v>
      </x:c>
      <x:c r="E54" s="4" t="n">
        <x:f aca="0">ROUND((D54-C54)*86400,1)</x:f>
        <x:v>0</x:v>
      </x:c>
      <x:c r="F54" s="4" t="n">
        <x:v>14</x:v>
      </x:c>
      <x:c r="G54" s="4" t="s">
        <x:v>64</x:v>
      </x:c>
    </x:row>
    <x:row r="55" ht="15" hidden="0">
      <x:c r="A55" s="4" t="s">
        <x:v>115</x:v>
      </x:c>
      <x:c r="B55" s="4" t="n">
        <x:v>1</x:v>
      </x:c>
      <x:c r="C55" s="5" t="n">
        <x:v>45750.8903372132</x:v>
      </x:c>
      <x:c r="D55" s="5" t="n">
        <x:v>45750.8903372132</x:v>
      </x:c>
      <x:c r="E55" s="4" t="n">
        <x:f aca="0">ROUND((D55-C55)*86400,1)</x:f>
        <x:v>0</x:v>
      </x:c>
      <x:c r="F55" s="4" t="n">
        <x:v>14.8</x:v>
      </x:c>
      <x:c r="G55" s="4" t="s">
        <x:v>64</x:v>
      </x:c>
    </x:row>
    <x:row r="56" ht="15" hidden="0">
      <x:c r="A56" s="4" t="s">
        <x:v>116</x:v>
      </x:c>
      <x:c r="B56" s="4" t="n">
        <x:v>1</x:v>
      </x:c>
      <x:c r="C56" s="5" t="n">
        <x:v>45750.8332232127</x:v>
      </x:c>
      <x:c r="D56" s="5" t="n">
        <x:v>45750.8332232127</x:v>
      </x:c>
      <x:c r="E56" s="4" t="n">
        <x:f aca="0">ROUND((D56-C56)*86400,1)</x:f>
        <x:v>0</x:v>
      </x:c>
      <x:c r="F56" s="4" t="n">
        <x:v>13.6</x:v>
      </x:c>
      <x:c r="G56" s="4" t="s">
        <x:v>64</x:v>
      </x:c>
    </x:row>
    <x:row r="57" ht="15" hidden="0">
      <x:c r="A57" s="4" t="s">
        <x:v>117</x:v>
      </x:c>
      <x:c r="B57" s="4" t="n">
        <x:v>1</x:v>
      </x:c>
      <x:c r="C57" s="5" t="n">
        <x:v>45750.7376561067</x:v>
      </x:c>
      <x:c r="D57" s="5" t="n">
        <x:v>45750.7376561067</x:v>
      </x:c>
      <x:c r="E57" s="4" t="n">
        <x:f aca="0">ROUND((D57-C57)*86400,1)</x:f>
        <x:v>0</x:v>
      </x:c>
      <x:c r="F57" s="4" t="n">
        <x:v>14</x:v>
      </x:c>
      <x:c r="G57" s="4" t="s">
        <x:v>64</x:v>
      </x:c>
    </x:row>
    <x:row r="58" ht="15" hidden="0">
      <x:c r="A58" s="4" t="s">
        <x:v>118</x:v>
      </x:c>
      <x:c r="B58" s="4" t="n">
        <x:v>1</x:v>
      </x:c>
      <x:c r="C58" s="5" t="n">
        <x:v>45750.9732687537</x:v>
      </x:c>
      <x:c r="D58" s="5" t="n">
        <x:v>45750.9732687537</x:v>
      </x:c>
      <x:c r="E58" s="4" t="n">
        <x:f aca="0">ROUND((D58-C58)*86400,1)</x:f>
        <x:v>0</x:v>
      </x:c>
      <x:c r="F58" s="4" t="n">
        <x:v>14.4</x:v>
      </x:c>
      <x:c r="G58" s="4" t="s">
        <x:v>64</x:v>
      </x:c>
    </x:row>
    <x:row r="59" ht="15" hidden="0">
      <x:c r="A59" s="4" t="s">
        <x:v>119</x:v>
      </x:c>
      <x:c r="B59" s="4" t="n">
        <x:v>1</x:v>
      </x:c>
      <x:c r="C59" s="5" t="n">
        <x:v>45750.7083248728</x:v>
      </x:c>
      <x:c r="D59" s="5" t="n">
        <x:v>45750.7083248728</x:v>
      </x:c>
      <x:c r="E59" s="4" t="n">
        <x:f aca="0">ROUND((D59-C59)*86400,1)</x:f>
        <x:v>0</x:v>
      </x:c>
      <x:c r="F59" s="4" t="n">
        <x:v>13.9</x:v>
      </x:c>
      <x:c r="G59" s="4" t="s">
        <x:v>64</x:v>
      </x:c>
    </x:row>
    <x:row r="60" ht="15" hidden="0">
      <x:c r="A60" s="4" t="s">
        <x:v>120</x:v>
      </x:c>
      <x:c r="B60" s="4" t="n">
        <x:v>1</x:v>
      </x:c>
      <x:c r="C60" s="5" t="n">
        <x:v>45750.6657822652</x:v>
      </x:c>
      <x:c r="D60" s="5" t="n">
        <x:v>45750.6657822652</x:v>
      </x:c>
      <x:c r="E60" s="4" t="n">
        <x:f aca="0">ROUND((D60-C60)*86400,1)</x:f>
        <x:v>0</x:v>
      </x:c>
      <x:c r="F60" s="4" t="n">
        <x:v>14.1</x:v>
      </x:c>
      <x:c r="G60" s="4" t="s">
        <x:v>64</x:v>
      </x:c>
    </x:row>
    <x:row r="61" ht="15" hidden="0">
      <x:c r="A61" s="4" t="s">
        <x:v>121</x:v>
      </x:c>
      <x:c r="B61" s="4" t="n">
        <x:v>1</x:v>
      </x:c>
      <x:c r="C61" s="5" t="n">
        <x:v>45750.9631993622</x:v>
      </x:c>
      <x:c r="D61" s="5" t="n">
        <x:v>45750.9631993622</x:v>
      </x:c>
      <x:c r="E61" s="4" t="n">
        <x:f aca="0">ROUND((D61-C61)*86400,1)</x:f>
        <x:v>0</x:v>
      </x:c>
      <x:c r="F61" s="4" t="n">
        <x:v>13.1</x:v>
      </x:c>
      <x:c r="G61" s="4" t="s">
        <x:v>64</x:v>
      </x:c>
    </x:row>
    <x:row r="62" ht="15" hidden="0">
      <x:c r="A62" s="4" t="s">
        <x:v>122</x:v>
      </x:c>
      <x:c r="B62" s="4" t="n">
        <x:v>1</x:v>
      </x:c>
      <x:c r="C62" s="5" t="n">
        <x:v>45750.9405610837</x:v>
      </x:c>
      <x:c r="D62" s="5" t="n">
        <x:v>45750.9405610837</x:v>
      </x:c>
      <x:c r="E62" s="4" t="n">
        <x:f aca="0">ROUND((D62-C62)*86400,1)</x:f>
        <x:v>0</x:v>
      </x:c>
      <x:c r="F62" s="4" t="n">
        <x:v>14.9</x:v>
      </x:c>
      <x:c r="G62" s="4" t="s">
        <x:v>64</x:v>
      </x:c>
    </x:row>
    <x:row r="63" ht="15" hidden="0">
      <x:c r="A63" s="4" t="s">
        <x:v>123</x:v>
      </x:c>
      <x:c r="B63" s="4" t="n">
        <x:v>1</x:v>
      </x:c>
      <x:c r="C63" s="5" t="n">
        <x:v>45750.763673465</x:v>
      </x:c>
      <x:c r="D63" s="5" t="n">
        <x:v>45750.763673465</x:v>
      </x:c>
      <x:c r="E63" s="4" t="n">
        <x:f aca="0">ROUND((D63-C63)*86400,1)</x:f>
        <x:v>0</x:v>
      </x:c>
      <x:c r="F63" s="4" t="n">
        <x:v>13.6</x:v>
      </x:c>
      <x:c r="G63" s="4" t="s">
        <x:v>64</x:v>
      </x:c>
    </x:row>
    <x:row r="64" ht="15" hidden="0">
      <x:c r="A64" s="4" t="s">
        <x:v>124</x:v>
      </x:c>
      <x:c r="B64" s="4" t="n">
        <x:v>1</x:v>
      </x:c>
      <x:c r="C64" s="5" t="n">
        <x:v>45750.9909302249</x:v>
      </x:c>
      <x:c r="D64" s="5" t="n">
        <x:v>45750.9909302249</x:v>
      </x:c>
      <x:c r="E64" s="4" t="n">
        <x:f aca="0">ROUND((D64-C64)*86400,1)</x:f>
        <x:v>0</x:v>
      </x:c>
      <x:c r="F64" s="4" t="n">
        <x:v>14.3</x:v>
      </x:c>
      <x:c r="G64" s="4" t="s">
        <x:v>64</x:v>
      </x:c>
    </x:row>
    <x:row r="65" ht="15" hidden="0">
      <x:c r="A65" s="4" t="s">
        <x:v>125</x:v>
      </x:c>
      <x:c r="B65" s="4" t="n">
        <x:v>1</x:v>
      </x:c>
      <x:c r="C65" s="5" t="n">
        <x:v>45750.8334128928</x:v>
      </x:c>
      <x:c r="D65" s="5" t="n">
        <x:v>45750.8334128928</x:v>
      </x:c>
      <x:c r="E65" s="4" t="n">
        <x:f aca="0">ROUND((D65-C65)*86400,1)</x:f>
        <x:v>0</x:v>
      </x:c>
      <x:c r="F65" s="4" t="n">
        <x:v>13.7</x:v>
      </x:c>
      <x:c r="G65" s="4" t="s">
        <x:v>64</x:v>
      </x:c>
    </x:row>
    <x:row r="66" ht="15" hidden="0">
      <x:c r="A66" s="4" t="s">
        <x:v>126</x:v>
      </x:c>
      <x:c r="B66" s="4" t="n">
        <x:v>1</x:v>
      </x:c>
      <x:c r="C66" s="5" t="n">
        <x:v>45750.9254597723</x:v>
      </x:c>
      <x:c r="D66" s="5" t="n">
        <x:v>45750.9254597723</x:v>
      </x:c>
      <x:c r="E66" s="4" t="n">
        <x:f aca="0">ROUND((D66-C66)*86400,1)</x:f>
        <x:v>0</x:v>
      </x:c>
      <x:c r="F66" s="4" t="n">
        <x:v>13.3</x:v>
      </x:c>
      <x:c r="G66" s="4" t="s">
        <x:v>64</x:v>
      </x:c>
    </x:row>
    <x:row r="67" ht="15" hidden="0">
      <x:c r="A67" s="4" t="s">
        <x:v>127</x:v>
      </x:c>
      <x:c r="B67" s="4" t="n">
        <x:v>1</x:v>
      </x:c>
      <x:c r="C67" s="5" t="n">
        <x:v>45750.8597755189</x:v>
      </x:c>
      <x:c r="D67" s="5" t="n">
        <x:v>45750.8597755189</x:v>
      </x:c>
      <x:c r="E67" s="4" t="n">
        <x:f aca="0">ROUND((D67-C67)*86400,1)</x:f>
        <x:v>0</x:v>
      </x:c>
      <x:c r="F67" s="4" t="n">
        <x:v>12.6</x:v>
      </x:c>
      <x:c r="G67" s="4" t="s">
        <x:v>64</x:v>
      </x:c>
    </x:row>
    <x:row r="68" ht="15" hidden="0">
      <x:c r="A68" s="4" t="s">
        <x:v>128</x:v>
      </x:c>
      <x:c r="B68" s="4" t="n">
        <x:v>1</x:v>
      </x:c>
      <x:c r="C68" s="5" t="n">
        <x:v>45750.8765714409</x:v>
      </x:c>
      <x:c r="D68" s="5" t="n">
        <x:v>45750.8765714409</x:v>
      </x:c>
      <x:c r="E68" s="4" t="n">
        <x:f aca="0">ROUND((D68-C68)*86400,1)</x:f>
        <x:v>0</x:v>
      </x:c>
      <x:c r="F68" s="4" t="n">
        <x:v>12.4</x:v>
      </x:c>
      <x:c r="G68" s="4" t="s">
        <x:v>64</x:v>
      </x:c>
    </x:row>
    <x:row r="69" ht="15" hidden="0">
      <x:c r="A69" s="4" t="s">
        <x:v>129</x:v>
      </x:c>
      <x:c r="B69" s="4" t="n">
        <x:v>1</x:v>
      </x:c>
      <x:c r="C69" s="5" t="n">
        <x:v>45750.8458728575</x:v>
      </x:c>
      <x:c r="D69" s="5" t="n">
        <x:v>45750.8458728575</x:v>
      </x:c>
      <x:c r="E69" s="4" t="n">
        <x:f aca="0">ROUND((D69-C69)*86400,1)</x:f>
        <x:v>0</x:v>
      </x:c>
      <x:c r="F69" s="4" t="n">
        <x:v>13.7</x:v>
      </x:c>
      <x:c r="G69" s="4" t="s">
        <x:v>64</x:v>
      </x:c>
    </x:row>
    <x:row r="70" ht="15" hidden="0">
      <x:c r="A70" s="4" t="s">
        <x:v>130</x:v>
      </x:c>
      <x:c r="B70" s="4" t="n">
        <x:v>1</x:v>
      </x:c>
      <x:c r="C70" s="5" t="n">
        <x:v>45750.7673157628</x:v>
      </x:c>
      <x:c r="D70" s="5" t="n">
        <x:v>45750.7673157628</x:v>
      </x:c>
      <x:c r="E70" s="4" t="n">
        <x:f aca="0">ROUND((D70-C70)*86400,1)</x:f>
        <x:v>0</x:v>
      </x:c>
      <x:c r="F70" s="4" t="n">
        <x:v>14.8</x:v>
      </x:c>
      <x:c r="G70" s="4" t="s">
        <x:v>64</x:v>
      </x:c>
    </x:row>
    <x:row r="71" ht="15" hidden="0">
      <x:c r="A71" s="4" t="s">
        <x:v>131</x:v>
      </x:c>
      <x:c r="B71" s="4" t="n">
        <x:v>1</x:v>
      </x:c>
      <x:c r="C71" s="5" t="n">
        <x:v>45750.7648952538</x:v>
      </x:c>
      <x:c r="D71" s="5" t="n">
        <x:v>45750.7648952538</x:v>
      </x:c>
      <x:c r="E71" s="4" t="n">
        <x:f aca="0">ROUND((D71-C71)*86400,1)</x:f>
        <x:v>0</x:v>
      </x:c>
      <x:c r="F71" s="4" t="n">
        <x:v>13.7</x:v>
      </x:c>
      <x:c r="G71" s="4" t="s">
        <x:v>64</x:v>
      </x:c>
    </x:row>
    <x:row r="72" ht="15" hidden="0">
      <x:c r="A72" s="4" t="s">
        <x:v>132</x:v>
      </x:c>
      <x:c r="B72" s="4" t="n">
        <x:v>1</x:v>
      </x:c>
      <x:c r="C72" s="5" t="n">
        <x:v>45750.712093816</x:v>
      </x:c>
      <x:c r="D72" s="5" t="n">
        <x:v>45750.712093816</x:v>
      </x:c>
      <x:c r="E72" s="4" t="n">
        <x:f aca="0">ROUND((D72-C72)*86400,1)</x:f>
        <x:v>0</x:v>
      </x:c>
      <x:c r="F72" s="4" t="n">
        <x:v>13.7</x:v>
      </x:c>
      <x:c r="G72" s="4" t="s">
        <x:v>64</x:v>
      </x:c>
    </x:row>
    <x:row r="73" ht="15" hidden="0">
      <x:c r="A73" s="4" t="s">
        <x:v>133</x:v>
      </x:c>
      <x:c r="B73" s="4" t="n">
        <x:v>1</x:v>
      </x:c>
      <x:c r="C73" s="5" t="n">
        <x:v>45750.7240307897</x:v>
      </x:c>
      <x:c r="D73" s="5" t="n">
        <x:v>45750.7240307897</x:v>
      </x:c>
      <x:c r="E73" s="4" t="n">
        <x:f aca="0">ROUND((D73-C73)*86400,1)</x:f>
        <x:v>0</x:v>
      </x:c>
      <x:c r="F73" s="4" t="n">
        <x:v>13.7</x:v>
      </x:c>
      <x:c r="G73" s="4" t="s">
        <x:v>64</x:v>
      </x:c>
    </x:row>
    <x:row r="74" ht="15" hidden="0">
      <x:c r="A74" s="4" t="s">
        <x:v>134</x:v>
      </x:c>
      <x:c r="B74" s="4" t="n">
        <x:v>1</x:v>
      </x:c>
      <x:c r="C74" s="5" t="n">
        <x:v>45750.6794872192</x:v>
      </x:c>
      <x:c r="D74" s="5" t="n">
        <x:v>45750.6794872192</x:v>
      </x:c>
      <x:c r="E74" s="4" t="n">
        <x:f aca="0">ROUND((D74-C74)*86400,1)</x:f>
        <x:v>0</x:v>
      </x:c>
      <x:c r="F74" s="4" t="n">
        <x:v>14.2</x:v>
      </x:c>
      <x:c r="G74" s="4" t="s">
        <x:v>64</x:v>
      </x:c>
    </x:row>
    <x:row r="75" ht="15" hidden="0">
      <x:c r="A75" s="4" t="s">
        <x:v>135</x:v>
      </x:c>
      <x:c r="B75" s="4" t="n">
        <x:v>1</x:v>
      </x:c>
      <x:c r="C75" s="5" t="n">
        <x:v>45750.9873511348</x:v>
      </x:c>
      <x:c r="D75" s="5" t="n">
        <x:v>45750.9873511348</x:v>
      </x:c>
      <x:c r="E75" s="4" t="n">
        <x:f aca="0">ROUND((D75-C75)*86400,1)</x:f>
        <x:v>0</x:v>
      </x:c>
      <x:c r="F75" s="4" t="n">
        <x:v>15.2</x:v>
      </x:c>
      <x:c r="G75" s="4" t="s">
        <x:v>64</x:v>
      </x:c>
    </x:row>
    <x:row r="76" ht="15" hidden="0">
      <x:c r="A76" s="4" t="s">
        <x:v>136</x:v>
      </x:c>
      <x:c r="B76" s="4" t="n">
        <x:v>1</x:v>
      </x:c>
      <x:c r="C76" s="5" t="n">
        <x:v>45750.8812709315</x:v>
      </x:c>
      <x:c r="D76" s="5" t="n">
        <x:v>45750.8812709315</x:v>
      </x:c>
      <x:c r="E76" s="4" t="n">
        <x:f aca="0">ROUND((D76-C76)*86400,1)</x:f>
        <x:v>0</x:v>
      </x:c>
      <x:c r="F76" s="4" t="n">
        <x:v>14</x:v>
      </x:c>
      <x:c r="G76" s="4" t="s">
        <x:v>64</x:v>
      </x:c>
    </x:row>
    <x:row r="77" ht="15" hidden="0">
      <x:c r="A77" s="4" t="s">
        <x:v>137</x:v>
      </x:c>
      <x:c r="B77" s="4" t="n">
        <x:v>1</x:v>
      </x:c>
      <x:c r="C77" s="5" t="n">
        <x:v>45750.6753334103</x:v>
      </x:c>
      <x:c r="D77" s="5" t="n">
        <x:v>45750.6753334103</x:v>
      </x:c>
      <x:c r="E77" s="4" t="n">
        <x:f aca="0">ROUND((D77-C77)*86400,1)</x:f>
        <x:v>0</x:v>
      </x:c>
      <x:c r="F77" s="4" t="n">
        <x:v>13.9</x:v>
      </x:c>
      <x:c r="G77" s="4" t="s">
        <x:v>64</x:v>
      </x:c>
    </x:row>
    <x:row r="78" ht="15" hidden="0">
      <x:c r="A78" s="4" t="s">
        <x:v>138</x:v>
      </x:c>
      <x:c r="B78" s="4" t="n">
        <x:v>1</x:v>
      </x:c>
      <x:c r="C78" s="5" t="n">
        <x:v>45750.9100566513</x:v>
      </x:c>
      <x:c r="D78" s="5" t="n">
        <x:v>45750.9100566513</x:v>
      </x:c>
      <x:c r="E78" s="4" t="n">
        <x:f aca="0">ROUND((D78-C78)*86400,1)</x:f>
        <x:v>0</x:v>
      </x:c>
      <x:c r="F78" s="4" t="n">
        <x:v>12.7</x:v>
      </x:c>
      <x:c r="G78" s="4" t="s">
        <x:v>64</x:v>
      </x:c>
    </x:row>
    <x:row r="79" ht="15" hidden="0">
      <x:c r="A79" s="4" t="s">
        <x:v>139</x:v>
      </x:c>
      <x:c r="B79" s="4" t="n">
        <x:v>1</x:v>
      </x:c>
      <x:c r="C79" s="5" t="n">
        <x:v>45750.7658151489</x:v>
      </x:c>
      <x:c r="D79" s="5" t="n">
        <x:v>45750.7658151489</x:v>
      </x:c>
      <x:c r="E79" s="4" t="n">
        <x:f aca="0">ROUND((D79-C79)*86400,1)</x:f>
        <x:v>0</x:v>
      </x:c>
      <x:c r="F79" s="4" t="n">
        <x:v>14.9</x:v>
      </x:c>
      <x:c r="G79" s="4" t="s">
        <x:v>64</x:v>
      </x:c>
    </x:row>
    <x:row r="80" ht="15" hidden="0">
      <x:c r="A80" s="4" t="s">
        <x:v>140</x:v>
      </x:c>
      <x:c r="B80" s="4" t="n">
        <x:v>1</x:v>
      </x:c>
      <x:c r="C80" s="5" t="n">
        <x:v>45750.6913699543</x:v>
      </x:c>
      <x:c r="D80" s="5" t="n">
        <x:v>45750.6913699543</x:v>
      </x:c>
      <x:c r="E80" s="4" t="n">
        <x:f aca="0">ROUND((D80-C80)*86400,1)</x:f>
        <x:v>0</x:v>
      </x:c>
      <x:c r="F80" s="4" t="n">
        <x:v>14.8</x:v>
      </x:c>
      <x:c r="G80" s="4" t="s">
        <x:v>64</x:v>
      </x:c>
    </x:row>
    <x:row r="81" ht="15" hidden="0">
      <x:c r="A81" s="4" t="s">
        <x:v>141</x:v>
      </x:c>
      <x:c r="B81" s="4" t="n">
        <x:v>1</x:v>
      </x:c>
      <x:c r="C81" s="5" t="n">
        <x:v>45750.8319369365</x:v>
      </x:c>
      <x:c r="D81" s="5" t="n">
        <x:v>45750.8319369365</x:v>
      </x:c>
      <x:c r="E81" s="4" t="n">
        <x:f aca="0">ROUND((D81-C81)*86400,1)</x:f>
        <x:v>0</x:v>
      </x:c>
      <x:c r="F81" s="4" t="n">
        <x:v>13.9</x:v>
      </x:c>
      <x:c r="G81" s="4" t="s">
        <x:v>64</x:v>
      </x:c>
    </x:row>
    <x:row r="82" ht="15" hidden="0">
      <x:c r="A82" s="4" t="s">
        <x:v>142</x:v>
      </x:c>
      <x:c r="B82" s="4" t="n">
        <x:v>1</x:v>
      </x:c>
      <x:c r="C82" s="5" t="n">
        <x:v>45750.832828886</x:v>
      </x:c>
      <x:c r="D82" s="5" t="n">
        <x:v>45750.832828886</x:v>
      </x:c>
      <x:c r="E82" s="4" t="n">
        <x:f aca="0">ROUND((D82-C82)*86400,1)</x:f>
        <x:v>0</x:v>
      </x:c>
      <x:c r="F82" s="4" t="n">
        <x:v>13.9</x:v>
      </x:c>
      <x:c r="G82" s="4" t="s">
        <x:v>64</x:v>
      </x:c>
    </x:row>
    <x:row r="83" ht="15" hidden="0">
      <x:c r="A83" s="4" t="s">
        <x:v>143</x:v>
      </x:c>
      <x:c r="B83" s="4" t="n">
        <x:v>1</x:v>
      </x:c>
      <x:c r="C83" s="5" t="n">
        <x:v>45750.7700143708</x:v>
      </x:c>
      <x:c r="D83" s="5" t="n">
        <x:v>45750.7700143708</x:v>
      </x:c>
      <x:c r="E83" s="4" t="n">
        <x:f aca="0">ROUND((D83-C83)*86400,1)</x:f>
        <x:v>0</x:v>
      </x:c>
      <x:c r="F83" s="4" t="n">
        <x:v>13.8</x:v>
      </x:c>
      <x:c r="G83" s="4" t="s">
        <x:v>64</x:v>
      </x:c>
    </x:row>
    <x:row r="84" ht="15" hidden="0">
      <x:c r="A84" s="4" t="s">
        <x:v>144</x:v>
      </x:c>
      <x:c r="B84" s="4" t="n">
        <x:v>1</x:v>
      </x:c>
      <x:c r="C84" s="5" t="n">
        <x:v>45750.9638472808</x:v>
      </x:c>
      <x:c r="D84" s="5" t="n">
        <x:v>45750.9638472808</x:v>
      </x:c>
      <x:c r="E84" s="4" t="n">
        <x:f aca="0">ROUND((D84-C84)*86400,1)</x:f>
        <x:v>0</x:v>
      </x:c>
      <x:c r="F84" s="4" t="n">
        <x:v>12.3</x:v>
      </x:c>
      <x:c r="G84" s="4" t="s">
        <x:v>64</x:v>
      </x:c>
    </x:row>
    <x:row r="85" ht="15" hidden="0">
      <x:c r="A85" s="4" t="s">
        <x:v>145</x:v>
      </x:c>
      <x:c r="B85" s="4" t="n">
        <x:v>1</x:v>
      </x:c>
      <x:c r="C85" s="5" t="n">
        <x:v>45750.7899658997</x:v>
      </x:c>
      <x:c r="D85" s="5" t="n">
        <x:v>45750.7899658997</x:v>
      </x:c>
      <x:c r="E85" s="4" t="n">
        <x:f aca="0">ROUND((D85-C85)*86400,1)</x:f>
        <x:v>0</x:v>
      </x:c>
      <x:c r="F85" s="4" t="n">
        <x:v>15</x:v>
      </x:c>
      <x:c r="G85" s="4" t="s">
        <x:v>64</x:v>
      </x:c>
    </x:row>
    <x:row r="86" ht="15" hidden="0">
      <x:c r="A86" s="4" t="s">
        <x:v>146</x:v>
      </x:c>
      <x:c r="B86" s="4" t="n">
        <x:v>1</x:v>
      </x:c>
      <x:c r="C86" s="5" t="n">
        <x:v>45750.6862252656</x:v>
      </x:c>
      <x:c r="D86" s="5" t="n">
        <x:v>45750.6862252656</x:v>
      </x:c>
      <x:c r="E86" s="4" t="n">
        <x:f aca="0">ROUND((D86-C86)*86400,1)</x:f>
        <x:v>0</x:v>
      </x:c>
      <x:c r="F86" s="4" t="n">
        <x:v>120</x:v>
      </x:c>
      <x:c r="G86" s="4" t="s">
        <x:v>64</x:v>
      </x:c>
    </x:row>
    <x:row r="87" ht="15" hidden="0">
      <x:c r="A87" s="4" t="s">
        <x:v>147</x:v>
      </x:c>
      <x:c r="B87" s="4" t="n">
        <x:v>1</x:v>
      </x:c>
      <x:c r="C87" s="5" t="n">
        <x:v>45750.7357439197</x:v>
      </x:c>
      <x:c r="D87" s="5" t="n">
        <x:v>45750.7357439197</x:v>
      </x:c>
      <x:c r="E87" s="4" t="n">
        <x:f aca="0">ROUND((D87-C87)*86400,1)</x:f>
        <x:v>0</x:v>
      </x:c>
      <x:c r="F87" s="4" t="n">
        <x:v>0.3</x:v>
      </x:c>
      <x:c r="G87" s="4" t="s">
        <x:v>64</x:v>
      </x:c>
    </x:row>
    <x:row r="88" ht="15" hidden="0">
      <x:c r="A88" s="4" t="s">
        <x:v>148</x:v>
      </x:c>
      <x:c r="B88" s="4" t="n">
        <x:v>1</x:v>
      </x:c>
      <x:c r="C88" s="5" t="n">
        <x:v>45750.8060165812</x:v>
      </x:c>
      <x:c r="D88" s="5" t="n">
        <x:v>45750.8060165812</x:v>
      </x:c>
      <x:c r="E88" s="4" t="n">
        <x:f aca="0">ROUND((D88-C88)*86400,1)</x:f>
        <x:v>0</x:v>
      </x:c>
      <x:c r="F88" s="4" t="n">
        <x:v>13.9</x:v>
      </x:c>
      <x:c r="G88" s="4" t="s">
        <x:v>64</x:v>
      </x:c>
    </x:row>
    <x:row r="89" ht="15" hidden="0">
      <x:c r="A89" s="4" t="s">
        <x:v>149</x:v>
      </x:c>
      <x:c r="B89" s="4" t="n">
        <x:v>1</x:v>
      </x:c>
      <x:c r="C89" s="5" t="n">
        <x:v>45750.7224797696</x:v>
      </x:c>
      <x:c r="D89" s="5" t="n">
        <x:v>45750.7224797696</x:v>
      </x:c>
      <x:c r="E89" s="4" t="n">
        <x:f aca="0">ROUND((D89-C89)*86400,1)</x:f>
        <x:v>0</x:v>
      </x:c>
      <x:c r="F89" s="4" t="n">
        <x:v>10</x:v>
      </x:c>
      <x:c r="G89" s="4" t="s">
        <x:v>64</x:v>
      </x:c>
    </x:row>
    <x:row r="90" ht="15" hidden="0">
      <x:c r="A90" s="4" t="s">
        <x:v>150</x:v>
      </x:c>
      <x:c r="B90" s="4" t="n">
        <x:v>1</x:v>
      </x:c>
      <x:c r="C90" s="5" t="n">
        <x:v>45750.9036461892</x:v>
      </x:c>
      <x:c r="D90" s="5" t="n">
        <x:v>45750.9036461892</x:v>
      </x:c>
      <x:c r="E90" s="4" t="n">
        <x:f aca="0">ROUND((D90-C90)*86400,1)</x:f>
        <x:v>0</x:v>
      </x:c>
      <x:c r="F90" s="4" t="n">
        <x:v>15.3</x:v>
      </x:c>
      <x:c r="G90" s="4" t="s">
        <x:v>64</x:v>
      </x:c>
    </x:row>
    <x:row r="91" ht="15" hidden="0">
      <x:c r="A91" s="4" t="s">
        <x:v>151</x:v>
      </x:c>
      <x:c r="B91" s="4" t="n">
        <x:v>1</x:v>
      </x:c>
      <x:c r="C91" s="5" t="n">
        <x:v>45750.7672287114</x:v>
      </x:c>
      <x:c r="D91" s="5" t="n">
        <x:v>45750.7672287114</x:v>
      </x:c>
      <x:c r="E91" s="4" t="n">
        <x:f aca="0">ROUND((D91-C91)*86400,1)</x:f>
        <x:v>0</x:v>
      </x:c>
      <x:c r="F91" s="4" t="n">
        <x:v>13.6</x:v>
      </x:c>
      <x:c r="G91" s="4" t="s">
        <x:v>64</x:v>
      </x:c>
    </x:row>
    <x:row r="92" ht="15" hidden="0">
      <x:c r="A92" s="4" t="s">
        <x:v>152</x:v>
      </x:c>
      <x:c r="B92" s="4" t="n">
        <x:v>1</x:v>
      </x:c>
      <x:c r="C92" s="5" t="n">
        <x:v>45750.9376206842</x:v>
      </x:c>
      <x:c r="D92" s="5" t="n">
        <x:v>45750.9376206842</x:v>
      </x:c>
      <x:c r="E92" s="4" t="n">
        <x:f aca="0">ROUND((D92-C92)*86400,1)</x:f>
        <x:v>0</x:v>
      </x:c>
      <x:c r="F92" s="4" t="n">
        <x:v>30.9</x:v>
      </x:c>
      <x:c r="G92" s="4" t="s">
        <x:v>64</x:v>
      </x:c>
    </x:row>
    <x:row r="93" ht="15" hidden="0">
      <x:c r="A93" s="4" t="s">
        <x:v>153</x:v>
      </x:c>
      <x:c r="B93" s="4" t="n">
        <x:v>1</x:v>
      </x:c>
      <x:c r="C93" s="5" t="n">
        <x:v>45750.8712531891</x:v>
      </x:c>
      <x:c r="D93" s="5" t="n">
        <x:v>45750.8712531891</x:v>
      </x:c>
      <x:c r="E93" s="4" t="n">
        <x:f aca="0">ROUND((D93-C93)*86400,1)</x:f>
        <x:v>0</x:v>
      </x:c>
      <x:c r="F93" s="4" t="n">
        <x:v>4.4</x:v>
      </x:c>
      <x:c r="G93" s="4" t="s">
        <x:v>64</x:v>
      </x:c>
    </x:row>
    <x:row r="94" ht="15" hidden="0">
      <x:c r="A94" s="4" t="s">
        <x:v>154</x:v>
      </x:c>
      <x:c r="B94" s="4" t="n">
        <x:v>1</x:v>
      </x:c>
      <x:c r="C94" s="5" t="n">
        <x:v>45750.7756419844</x:v>
      </x:c>
      <x:c r="D94" s="5" t="n">
        <x:v>45750.7756419844</x:v>
      </x:c>
      <x:c r="E94" s="4" t="n">
        <x:f aca="0">ROUND((D94-C94)*86400,1)</x:f>
        <x:v>0</x:v>
      </x:c>
      <x:c r="F94" s="4" t="n">
        <x:v>13.5</x:v>
      </x:c>
      <x:c r="G94" s="4" t="s">
        <x:v>64</x:v>
      </x:c>
    </x:row>
    <x:row r="95" ht="15" hidden="0">
      <x:c r="A95" s="4" t="s">
        <x:v>155</x:v>
      </x:c>
      <x:c r="B95" s="4" t="n">
        <x:v>1</x:v>
      </x:c>
      <x:c r="C95" s="5" t="n">
        <x:v>45750.746672911</x:v>
      </x:c>
      <x:c r="D95" s="5" t="n">
        <x:v>45750.746672911</x:v>
      </x:c>
      <x:c r="E95" s="4" t="n">
        <x:f aca="0">ROUND((D95-C95)*86400,1)</x:f>
        <x:v>0</x:v>
      </x:c>
      <x:c r="F95" s="4" t="n">
        <x:v>52</x:v>
      </x:c>
      <x:c r="G95" s="4" t="s">
        <x:v>64</x:v>
      </x:c>
    </x:row>
    <x:row r="96" ht="15" hidden="0">
      <x:c r="A96" s="4" t="s">
        <x:v>156</x:v>
      </x:c>
      <x:c r="B96" s="4" t="n">
        <x:v>1</x:v>
      </x:c>
      <x:c r="C96" s="5" t="n">
        <x:v>45750.7965957404</x:v>
      </x:c>
      <x:c r="D96" s="5" t="n">
        <x:v>45750.7965957404</x:v>
      </x:c>
      <x:c r="E96" s="4" t="n">
        <x:f aca="0">ROUND((D96-C96)*86400,1)</x:f>
        <x:v>0</x:v>
      </x:c>
      <x:c r="F96" s="4" t="n">
        <x:v>14</x:v>
      </x:c>
      <x:c r="G96" s="4" t="s">
        <x:v>64</x:v>
      </x:c>
    </x:row>
    <x:row r="97" ht="15" hidden="0">
      <x:c r="A97" s="4" t="s">
        <x:v>157</x:v>
      </x:c>
      <x:c r="B97" s="4" t="n">
        <x:v>1</x:v>
      </x:c>
      <x:c r="C97" s="5" t="n">
        <x:v>45750.8287326215</x:v>
      </x:c>
      <x:c r="D97" s="5" t="n">
        <x:v>45750.8287326215</x:v>
      </x:c>
      <x:c r="E97" s="4" t="n">
        <x:f aca="0">ROUND((D97-C97)*86400,1)</x:f>
        <x:v>0</x:v>
      </x:c>
      <x:c r="F97" s="4" t="n">
        <x:v>14.2</x:v>
      </x:c>
      <x:c r="G97" s="4" t="s">
        <x:v>64</x:v>
      </x:c>
    </x:row>
    <x:row r="98" ht="15" hidden="0">
      <x:c r="A98" s="4" t="s">
        <x:v>158</x:v>
      </x:c>
      <x:c r="B98" s="4" t="n">
        <x:v>1</x:v>
      </x:c>
      <x:c r="C98" s="5" t="n">
        <x:v>45750.7092316024</x:v>
      </x:c>
      <x:c r="D98" s="5" t="n">
        <x:v>45750.7092316024</x:v>
      </x:c>
      <x:c r="E98" s="4" t="n">
        <x:f aca="0">ROUND((D98-C98)*86400,1)</x:f>
        <x:v>0</x:v>
      </x:c>
      <x:c r="F98" s="4" t="n">
        <x:v>12.4</x:v>
      </x:c>
      <x:c r="G98" s="4" t="s">
        <x:v>64</x:v>
      </x:c>
    </x:row>
    <x:row r="99" ht="15" hidden="0">
      <x:c r="A99" s="4" t="s">
        <x:v>159</x:v>
      </x:c>
      <x:c r="B99" s="4" t="n">
        <x:v>1</x:v>
      </x:c>
      <x:c r="C99" s="5" t="n">
        <x:v>45750.9446335982</x:v>
      </x:c>
      <x:c r="D99" s="5" t="n">
        <x:v>45750.9446335982</x:v>
      </x:c>
      <x:c r="E99" s="4" t="n">
        <x:f aca="0">ROUND((D99-C99)*86400,1)</x:f>
        <x:v>0</x:v>
      </x:c>
      <x:c r="F99" s="4" t="n">
        <x:v>15.4</x:v>
      </x:c>
      <x:c r="G99" s="4" t="s">
        <x:v>64</x:v>
      </x:c>
    </x:row>
    <x:row r="100" ht="15" hidden="0">
      <x:c r="A100" s="4" t="s">
        <x:v>160</x:v>
      </x:c>
      <x:c r="B100" s="4" t="n">
        <x:v>1</x:v>
      </x:c>
      <x:c r="C100" s="5" t="n">
        <x:v>45750.861098536</x:v>
      </x:c>
      <x:c r="D100" s="5" t="n">
        <x:v>45750.861098536</x:v>
      </x:c>
      <x:c r="E100" s="4" t="n">
        <x:f aca="0">ROUND((D100-C100)*86400,1)</x:f>
        <x:v>0</x:v>
      </x:c>
      <x:c r="F100" s="4" t="n">
        <x:v>13.5</x:v>
      </x:c>
      <x:c r="G100" s="4" t="s">
        <x:v>64</x:v>
      </x:c>
    </x:row>
    <x:row r="101" ht="15" hidden="0">
      <x:c r="A101" s="4" t="s">
        <x:v>161</x:v>
      </x:c>
      <x:c r="B101" s="4" t="n">
        <x:v>1</x:v>
      </x:c>
      <x:c r="C101" s="5" t="n">
        <x:v>45750.9197511013</x:v>
      </x:c>
      <x:c r="D101" s="5" t="n">
        <x:v>45750.9197511013</x:v>
      </x:c>
      <x:c r="E101" s="4" t="n">
        <x:f aca="0">ROUND((D101-C101)*86400,1)</x:f>
        <x:v>0</x:v>
      </x:c>
      <x:c r="F101" s="4" t="n">
        <x:v>13.9</x:v>
      </x:c>
      <x:c r="G101" s="4" t="s">
        <x:v>64</x:v>
      </x:c>
    </x:row>
    <x:row r="102" ht="15" hidden="0">
      <x:c r="A102" s="4" t="s">
        <x:v>162</x:v>
      </x:c>
      <x:c r="B102" s="4" t="n">
        <x:v>1</x:v>
      </x:c>
      <x:c r="C102" s="5" t="n">
        <x:v>45750.8973246038</x:v>
      </x:c>
      <x:c r="D102" s="5" t="n">
        <x:v>45750.8973246038</x:v>
      </x:c>
      <x:c r="E102" s="4" t="n">
        <x:f aca="0">ROUND((D102-C102)*86400,1)</x:f>
        <x:v>0</x:v>
      </x:c>
      <x:c r="F102" s="4" t="n">
        <x:v>14.3</x:v>
      </x:c>
      <x:c r="G102" s="4" t="s">
        <x:v>64</x:v>
      </x:c>
    </x:row>
    <x:row r="103" ht="15" hidden="0">
      <x:c r="A103" s="4" t="s">
        <x:v>163</x:v>
      </x:c>
      <x:c r="B103" s="4" t="n">
        <x:v>1</x:v>
      </x:c>
      <x:c r="C103" s="5" t="n">
        <x:v>45750.9344402222</x:v>
      </x:c>
      <x:c r="D103" s="5" t="n">
        <x:v>45750.9344402222</x:v>
      </x:c>
      <x:c r="E103" s="4" t="n">
        <x:f aca="0">ROUND((D103-C103)*86400,1)</x:f>
        <x:v>0</x:v>
      </x:c>
      <x:c r="F103" s="4" t="n">
        <x:v>30.7</x:v>
      </x:c>
      <x:c r="G103" s="4" t="s">
        <x:v>64</x:v>
      </x:c>
    </x:row>
    <x:row r="104" ht="15" hidden="0">
      <x:c r="A104" s="4" t="s">
        <x:v>164</x:v>
      </x:c>
      <x:c r="B104" s="4" t="n">
        <x:v>1</x:v>
      </x:c>
      <x:c r="C104" s="5" t="n">
        <x:v>45750.9433289069</x:v>
      </x:c>
      <x:c r="D104" s="5" t="n">
        <x:v>45750.9433289069</x:v>
      </x:c>
      <x:c r="E104" s="4" t="n">
        <x:f aca="0">ROUND((D104-C104)*86400,1)</x:f>
        <x:v>0</x:v>
      </x:c>
      <x:c r="F104" s="4" t="n">
        <x:v>13.8</x:v>
      </x:c>
      <x:c r="G104" s="4" t="s">
        <x:v>64</x:v>
      </x:c>
    </x:row>
    <x:row r="105" ht="15" hidden="0">
      <x:c r="A105" s="4" t="s">
        <x:v>165</x:v>
      </x:c>
      <x:c r="B105" s="4" t="n">
        <x:v>1</x:v>
      </x:c>
      <x:c r="C105" s="5" t="n">
        <x:v>45750.7422512441</x:v>
      </x:c>
      <x:c r="D105" s="5" t="n">
        <x:v>45750.7422512441</x:v>
      </x:c>
      <x:c r="E105" s="4" t="n">
        <x:f aca="0">ROUND((D105-C105)*86400,1)</x:f>
        <x:v>0</x:v>
      </x:c>
      <x:c r="F105" s="4" t="n">
        <x:v>14.3</x:v>
      </x:c>
      <x:c r="G105" s="4" t="s">
        <x:v>64</x:v>
      </x:c>
    </x:row>
    <x:row r="106" ht="15" hidden="0">
      <x:c r="A106" s="4" t="s">
        <x:v>166</x:v>
      </x:c>
      <x:c r="B106" s="4" t="n">
        <x:v>1</x:v>
      </x:c>
      <x:c r="C106" s="5" t="n">
        <x:v>45750.8206703622</x:v>
      </x:c>
      <x:c r="D106" s="5" t="n">
        <x:v>45750.8206703622</x:v>
      </x:c>
      <x:c r="E106" s="4" t="n">
        <x:f aca="0">ROUND((D106-C106)*86400,1)</x:f>
        <x:v>0</x:v>
      </x:c>
      <x:c r="F106" s="4" t="n">
        <x:v>12.9</x:v>
      </x:c>
      <x:c r="G106" s="4" t="s">
        <x:v>64</x:v>
      </x:c>
    </x:row>
    <x:row r="107" ht="15" hidden="0">
      <x:c r="A107" s="4" t="s">
        <x:v>167</x:v>
      </x:c>
      <x:c r="B107" s="4" t="n">
        <x:v>1</x:v>
      </x:c>
      <x:c r="C107" s="5" t="n">
        <x:v>45750.9165895143</x:v>
      </x:c>
      <x:c r="D107" s="5" t="n">
        <x:v>45750.9165895143</x:v>
      </x:c>
      <x:c r="E107" s="4" t="n">
        <x:f aca="0">ROUND((D107-C107)*86400,1)</x:f>
        <x:v>0</x:v>
      </x:c>
      <x:c r="F107" s="4" t="n">
        <x:v>10</x:v>
      </x:c>
      <x:c r="G107" s="4" t="s">
        <x:v>64</x:v>
      </x:c>
    </x:row>
    <x:row r="108" ht="15" hidden="0">
      <x:c r="A108" s="4" t="s">
        <x:v>168</x:v>
      </x:c>
      <x:c r="B108" s="4" t="n">
        <x:v>1</x:v>
      </x:c>
      <x:c r="C108" s="5" t="n">
        <x:v>45750.666781014</x:v>
      </x:c>
      <x:c r="D108" s="5" t="n">
        <x:v>45750.666781014</x:v>
      </x:c>
      <x:c r="E108" s="4" t="n">
        <x:f aca="0">ROUND((D108-C108)*86400,1)</x:f>
        <x:v>0</x:v>
      </x:c>
      <x:c r="F108" s="4" t="n">
        <x:v>14.2</x:v>
      </x:c>
      <x:c r="G108" s="4" t="s">
        <x:v>64</x:v>
      </x:c>
    </x:row>
    <x:row r="109" ht="15" hidden="0">
      <x:c r="A109" s="4" t="s">
        <x:v>169</x:v>
      </x:c>
      <x:c r="B109" s="4" t="n">
        <x:v>1</x:v>
      </x:c>
      <x:c r="C109" s="5" t="n">
        <x:v>45750.6710414995</x:v>
      </x:c>
      <x:c r="D109" s="5" t="n">
        <x:v>45750.6710414995</x:v>
      </x:c>
      <x:c r="E109" s="4" t="n">
        <x:f aca="0">ROUND((D109-C109)*86400,1)</x:f>
        <x:v>0</x:v>
      </x:c>
      <x:c r="F109" s="4" t="n">
        <x:v>31.6</x:v>
      </x:c>
      <x:c r="G109" s="4" t="s">
        <x:v>64</x:v>
      </x:c>
    </x:row>
    <x:row r="111" ht="15" hidden="0">
      <x:c r="A111" s="7" t="s">
        <x:v>170</x:v>
      </x:c>
      <x:c r="B111" s="7" t="n">
        <x:f aca="0">COUNTA(A4:A109)</x:f>
        <x:v>106</x:v>
      </x:c>
    </x:row>
    <x:row r="112" ht="15" hidden="0">
      <x:c r="A112" s="7" t="s">
        <x:v>57</x:v>
      </x:c>
      <x:c r="B112" s="7" t="n">
        <x:f aca="0">SUM(B4:B109)</x:f>
        <x:v>207</x:v>
      </x:c>
    </x:row>
    <x:row r="113" ht="15" hidden="0">
      <x:c r="A113" s="7" t="s">
        <x:v>171</x:v>
      </x:c>
      <x:c r="B113" s="7" t="n">
        <x:f aca="0">COUNTIF(B4:B109,1)</x:f>
        <x:v>101</x:v>
      </x:c>
    </x:row>
    <x:row r="114" ht="15" hidden="0">
      <x:c r="A114" s="7" t="s">
        <x:v>172</x:v>
      </x:c>
      <x:c r="B114" s="7" t="n">
        <x:f aca="0">COUNTIF(B4:B109,"&gt;=2")</x:f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100" hidden="0" customWidth="1"/>
  </x:cols>
  <x:sheetData>
    <x:row r="1" ht="16.149999618530273" hidden="0">
      <x:c r="A1" s="1" t="s">
        <x:v>173</x:v>
      </x:c>
    </x:row>
    <x:row r="3" ht="31.5" hidden="0" customHeight="1">
      <x:c r="A3" s="3" t="s">
        <x:v>174</x:v>
      </x:c>
      <x:c r="B3" s="3" t="s">
        <x:v>175</x:v>
      </x:c>
    </x:row>
    <x:row r="4" ht="23.850000381469727" hidden="0">
      <x:c r="A4" s="10" t="s">
        <x:v>176</x:v>
      </x:c>
      <x:c r="B4" s="11" t="s">
        <x:v>177</x:v>
      </x:c>
    </x:row>
    <x:row r="5" ht="23.850000381469727" hidden="0">
      <x:c r="A5" s="10" t="s">
        <x:v>178</x:v>
      </x:c>
      <x:c r="B5" s="11" t="s">
        <x:v>179</x:v>
      </x:c>
    </x:row>
    <x:row r="6" ht="23.850000381469727" hidden="0">
      <x:c r="A6" s="10" t="s">
        <x:v>9</x:v>
      </x:c>
      <x:c r="B6" s="11" t="s">
        <x:v>180</x:v>
      </x:c>
    </x:row>
    <x:row r="7" ht="15" hidden="0">
      <x:c r="A7" s="10" t="s">
        <x:v>181</x:v>
      </x:c>
      <x:c r="B7" s="11" t="s">
        <x:v>182</x:v>
      </x:c>
    </x:row>
    <x:row r="8" ht="23.850000381469727" hidden="0">
      <x:c r="A8" s="10" t="s">
        <x:v>183</x:v>
      </x:c>
      <x:c r="B8" s="11" t="s">
        <x:v>184</x:v>
      </x:c>
    </x:row>
    <x:row r="9" ht="15" hidden="0">
      <x:c r="A9" s="10" t="s">
        <x:v>185</x:v>
      </x:c>
      <x:c r="B9" s="11" t="s">
        <x:v>186</x:v>
      </x:c>
    </x:row>
    <x:row r="10" ht="15" hidden="0">
      <x:c r="A10" s="10" t="s">
        <x:v>187</x:v>
      </x:c>
      <x:c r="B10" s="11" t="s">
        <x:v>188</x:v>
      </x:c>
    </x:row>
    <x:row r="11" ht="15" hidden="0">
      <x:c r="A11" s="10" t="s">
        <x:v>189</x:v>
      </x:c>
      <x:c r="B11" s="11" t="s">
        <x:v>190</x:v>
      </x:c>
    </x:row>
    <x:row r="12" ht="15" hidden="0">
      <x:c r="A12" s="10" t="s">
        <x:v>191</x:v>
      </x:c>
      <x:c r="B12" s="11" t="s">
        <x:v>192</x:v>
      </x:c>
    </x:row>
  </x:sheetData>
  <x:pageMargins left="0.7" right="0.7" top="0.75" bottom="0.75" header="0.3" footer="0.3"/>
</x:worksheet>
</file>